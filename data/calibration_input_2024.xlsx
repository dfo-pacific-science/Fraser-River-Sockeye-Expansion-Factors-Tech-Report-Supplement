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arbeiderm\Documents\01 Sockeye Data Projects\Calibration-RSA\Fraser-Sockeye-Calibration\data\"/>
    </mc:Choice>
  </mc:AlternateContent>
  <xr:revisionPtr revIDLastSave="0" documentId="13_ncr:1_{8BAAE8FB-5F31-412E-A9D9-59112A5D802F}" xr6:coauthVersionLast="47" xr6:coauthVersionMax="47" xr10:uidLastSave="{00000000-0000-0000-0000-000000000000}"/>
  <bookViews>
    <workbookView xWindow="57480" yWindow="3255" windowWidth="29040" windowHeight="15720" tabRatio="599" activeTab="1" xr2:uid="{00000000-000D-0000-FFFF-FFFF00000000}"/>
  </bookViews>
  <sheets>
    <sheet name="metadata" sheetId="2" r:id="rId1"/>
    <sheet name="Calibration_Input" sheetId="1" r:id="rId2"/>
    <sheet name="prelim_final_estimates" sheetId="3" r:id="rId3"/>
  </sheets>
  <definedNames>
    <definedName name="_xlnm._FilterDatabase" localSheetId="1" hidden="1">Calibration_Input!$A$1:$AG$56</definedName>
    <definedName name="_xlnm._FilterDatabase" localSheetId="2" hidden="1">prelim_final_estimates!$A$1:$T$165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54" i="1" l="1"/>
  <c r="AE54" i="1"/>
  <c r="AF54" i="1" s="1"/>
  <c r="AF51" i="1"/>
  <c r="AD56" i="1"/>
  <c r="AE56" i="1"/>
  <c r="AF56" i="1" s="1"/>
  <c r="AF45" i="1"/>
  <c r="AD50" i="1"/>
  <c r="AE50" i="1"/>
  <c r="AF50" i="1" s="1"/>
  <c r="AD49" i="1"/>
  <c r="AE49" i="1"/>
  <c r="AF49" i="1" s="1"/>
  <c r="AD48" i="1"/>
  <c r="AE48" i="1"/>
  <c r="AF48" i="1" s="1"/>
  <c r="AD15" i="1"/>
  <c r="AE15" i="1"/>
  <c r="AF15" i="1" s="1"/>
  <c r="AD16" i="1"/>
  <c r="AE16" i="1"/>
  <c r="AF16" i="1" s="1"/>
  <c r="AD17" i="1"/>
  <c r="AE17" i="1"/>
  <c r="AF17" i="1" s="1"/>
  <c r="AE27" i="1"/>
  <c r="AF27" i="1" s="1"/>
  <c r="AE28" i="1"/>
  <c r="AF28" i="1" s="1"/>
  <c r="AE29" i="1"/>
  <c r="AF29" i="1" s="1"/>
  <c r="AD3" i="1"/>
  <c r="AD4" i="1"/>
  <c r="AD5" i="1"/>
  <c r="AD6" i="1"/>
  <c r="AD7" i="1"/>
  <c r="AD8" i="1"/>
  <c r="AD9" i="1"/>
  <c r="AD10" i="1"/>
  <c r="AD11" i="1"/>
  <c r="AD12" i="1"/>
  <c r="AD13" i="1"/>
  <c r="AD14" i="1"/>
  <c r="AD18" i="1"/>
  <c r="AD19" i="1"/>
  <c r="AD20" i="1"/>
  <c r="AD21" i="1"/>
  <c r="AD22" i="1"/>
  <c r="AD23" i="1"/>
  <c r="AD24" i="1"/>
  <c r="AD25" i="1"/>
  <c r="AD26" i="1"/>
  <c r="AD27" i="1"/>
  <c r="AD28" i="1"/>
  <c r="AD29" i="1"/>
  <c r="AD30" i="1"/>
  <c r="AD31" i="1"/>
  <c r="AD32" i="1"/>
  <c r="AD51" i="1"/>
  <c r="AD52" i="1"/>
  <c r="AD53" i="1"/>
  <c r="AD55" i="1"/>
  <c r="AD33" i="1"/>
  <c r="AD34" i="1"/>
  <c r="AD35" i="1"/>
  <c r="AD36" i="1"/>
  <c r="AD37" i="1"/>
  <c r="AD38" i="1"/>
  <c r="AD39" i="1"/>
  <c r="AD40" i="1"/>
  <c r="AD41" i="1"/>
  <c r="AD42" i="1"/>
  <c r="AD43" i="1"/>
  <c r="AD44" i="1"/>
  <c r="AD46" i="1"/>
  <c r="AD47" i="1"/>
  <c r="AD2" i="1"/>
  <c r="AE3" i="1"/>
  <c r="AF3" i="1" s="1"/>
  <c r="AE4" i="1"/>
  <c r="AF4" i="1" s="1"/>
  <c r="AE5" i="1"/>
  <c r="AF5" i="1" s="1"/>
  <c r="AE6" i="1"/>
  <c r="AF6" i="1" s="1"/>
  <c r="AE7" i="1"/>
  <c r="AF7" i="1" s="1"/>
  <c r="AE8" i="1"/>
  <c r="AF8" i="1" s="1"/>
  <c r="AE9" i="1"/>
  <c r="AF9" i="1" s="1"/>
  <c r="AE10" i="1"/>
  <c r="AF10" i="1" s="1"/>
  <c r="AE11" i="1"/>
  <c r="AF11" i="1" s="1"/>
  <c r="AE12" i="1"/>
  <c r="AF12" i="1" s="1"/>
  <c r="AE13" i="1"/>
  <c r="AF13" i="1" s="1"/>
  <c r="AE14" i="1"/>
  <c r="AF14" i="1" s="1"/>
  <c r="AE18" i="1"/>
  <c r="AF18" i="1" s="1"/>
  <c r="AE19" i="1"/>
  <c r="AF19" i="1" s="1"/>
  <c r="AE20" i="1"/>
  <c r="AF20" i="1" s="1"/>
  <c r="AE21" i="1"/>
  <c r="AF21" i="1" s="1"/>
  <c r="AE22" i="1"/>
  <c r="AF22" i="1" s="1"/>
  <c r="AE23" i="1"/>
  <c r="AF23" i="1" s="1"/>
  <c r="AE24" i="1"/>
  <c r="AF24" i="1" s="1"/>
  <c r="AE25" i="1"/>
  <c r="AF25" i="1" s="1"/>
  <c r="AE26" i="1"/>
  <c r="AF26" i="1" s="1"/>
  <c r="AE30" i="1"/>
  <c r="AF30" i="1" s="1"/>
  <c r="AE31" i="1"/>
  <c r="AF31" i="1" s="1"/>
  <c r="AE32" i="1"/>
  <c r="AF32" i="1" s="1"/>
  <c r="AE52" i="1"/>
  <c r="AF52" i="1" s="1"/>
  <c r="AE53" i="1"/>
  <c r="AF53" i="1" s="1"/>
  <c r="AE55" i="1"/>
  <c r="AF55" i="1" s="1"/>
  <c r="AE33" i="1"/>
  <c r="AF33" i="1" s="1"/>
  <c r="AE34" i="1"/>
  <c r="AF34" i="1" s="1"/>
  <c r="AE35" i="1"/>
  <c r="AF35" i="1" s="1"/>
  <c r="AE36" i="1"/>
  <c r="AF36" i="1" s="1"/>
  <c r="AE37" i="1"/>
  <c r="AF37" i="1" s="1"/>
  <c r="AE38" i="1"/>
  <c r="AF38" i="1" s="1"/>
  <c r="AE39" i="1"/>
  <c r="AF39" i="1" s="1"/>
  <c r="AE40" i="1"/>
  <c r="AF40" i="1" s="1"/>
  <c r="AE41" i="1"/>
  <c r="AF41" i="1" s="1"/>
  <c r="AE42" i="1"/>
  <c r="AF42" i="1" s="1"/>
  <c r="AE43" i="1"/>
  <c r="AF43" i="1" s="1"/>
  <c r="AE44" i="1"/>
  <c r="AF44" i="1" s="1"/>
  <c r="AE46" i="1"/>
  <c r="AF46" i="1" s="1"/>
  <c r="AE47" i="1"/>
  <c r="AF47" i="1" s="1"/>
  <c r="AE2" i="1"/>
  <c r="AF2" i="1" s="1"/>
</calcChain>
</file>

<file path=xl/sharedStrings.xml><?xml version="1.0" encoding="utf-8"?>
<sst xmlns="http://schemas.openxmlformats.org/spreadsheetml/2006/main" count="2392" uniqueCount="601">
  <si>
    <t xml:space="preserve">Last edits made by: B. Smith, 2025-06-03rd </t>
  </si>
  <si>
    <t>Calibration_Input METADATA</t>
  </si>
  <si>
    <t>Column</t>
  </si>
  <si>
    <t>Units or levels</t>
  </si>
  <si>
    <t>Description</t>
  </si>
  <si>
    <t>watershed_group</t>
  </si>
  <si>
    <t>-</t>
  </si>
  <si>
    <t>Watershed group name based on geographic groupings within the Fraser River watershed</t>
  </si>
  <si>
    <t>run_timing_group</t>
  </si>
  <si>
    <t>Run timing grouping used by fisheries management</t>
  </si>
  <si>
    <t>CU</t>
  </si>
  <si>
    <t>Conservation Unit relating to the Wild Salmon Policy</t>
  </si>
  <si>
    <t>gazetted_stream_name</t>
  </si>
  <si>
    <t xml:space="preserve">Gazetted stream name, not necessarily common-use stream name. </t>
  </si>
  <si>
    <t>stream_alias</t>
  </si>
  <si>
    <t>Alias to above gazetted stream name. For reference only.</t>
  </si>
  <si>
    <t>year</t>
  </si>
  <si>
    <t>Escapement year</t>
  </si>
  <si>
    <t>system_stability</t>
  </si>
  <si>
    <t>Volatile; Stable</t>
  </si>
  <si>
    <t>Whether system is considered volatile or stable in its flashiness. E.g., systems lake-fed are stable, while rainwater-fed are volatile (flashy)</t>
  </si>
  <si>
    <t>size</t>
  </si>
  <si>
    <t>Very small; Small; Medium; Large; X-Large</t>
  </si>
  <si>
    <t>Qualitative size based on the description below.</t>
  </si>
  <si>
    <t>water_clarity</t>
  </si>
  <si>
    <t>Clear; Partly turbid/tannic; Turbid</t>
  </si>
  <si>
    <t>Qualitative water clarity based on field surveys</t>
  </si>
  <si>
    <t>substrate_shade</t>
  </si>
  <si>
    <t>Light; Medium; Dark</t>
  </si>
  <si>
    <t>Qualitative darkness of riverbed substrate. See Description Below.</t>
  </si>
  <si>
    <t>lpe_date</t>
  </si>
  <si>
    <t>dd-mmm</t>
  </si>
  <si>
    <t>Date the low-precision visual survey occurred. If no survey date could be found, the peak of spawn date range is given instead (it is assumed the visual survey occurred in this time range)</t>
  </si>
  <si>
    <t>water_discharge</t>
  </si>
  <si>
    <r>
      <t>m</t>
    </r>
    <r>
      <rPr>
        <vertAlign val="superscript"/>
        <sz val="16"/>
        <color theme="1"/>
        <rFont val="Arial"/>
        <family val="2"/>
      </rPr>
      <t>3</t>
    </r>
    <r>
      <rPr>
        <sz val="16"/>
        <color theme="1"/>
        <rFont val="Arial"/>
        <family val="2"/>
      </rPr>
      <t>/s</t>
    </r>
  </si>
  <si>
    <t>Water flow rate in cubic-metres per second. Data collected from historical Environment Canada wateroffice data. Values are daily means (if ec_data_type=="historical") corresponding to the date of the LPE survey, or as close as possible.</t>
  </si>
  <si>
    <t>bankfull</t>
  </si>
  <si>
    <t>0-25; 25-50; 50-75; 75-100</t>
  </si>
  <si>
    <t>categorical % bankfull</t>
  </si>
  <si>
    <t>brightness</t>
  </si>
  <si>
    <t>Full; Bright; Medium; Dark</t>
  </si>
  <si>
    <t xml:space="preserve">light brightness of surroundings while counting </t>
  </si>
  <si>
    <t>cloud_cover</t>
  </si>
  <si>
    <t>0; 25; 50; 75; 100</t>
  </si>
  <si>
    <t>categorical % cloud cover</t>
  </si>
  <si>
    <t>fish_vis</t>
  </si>
  <si>
    <t>High; Medium; Low</t>
  </si>
  <si>
    <t>how visible fish are in the water</t>
  </si>
  <si>
    <t>water_vis</t>
  </si>
  <si>
    <t>metres (m)</t>
  </si>
  <si>
    <t>categorical depth (m) counters can see in the water. Note this is estimated and not measured.</t>
  </si>
  <si>
    <t>OE</t>
  </si>
  <si>
    <t>%</t>
  </si>
  <si>
    <t>Observer Efficiency, an estimate of the % of fish counters estimated they could see based on how difficult (or good) counting conditions were.</t>
  </si>
  <si>
    <t>live_method</t>
  </si>
  <si>
    <t>Ground; Aerial</t>
  </si>
  <si>
    <t>method used to perform the visual (i.e., low-precision) live count survey. Ground carcasses might be added for aerial survey in which no dead were counted. If a survey is partially surveyed by ground and partially by aerial, only list the survey method that accounts for most of the count.</t>
  </si>
  <si>
    <t>peak_live_above</t>
  </si>
  <si>
    <t># live fish</t>
  </si>
  <si>
    <t xml:space="preserve">The peak live count above any fence/weir structure, or in case of mark-recapture, it is the whole system and peak_live_below=NA. Often an average of two counters, where appropriate (i.e., if both counters were reliable, it is averaged. if not, it is the better count). </t>
  </si>
  <si>
    <t>peak_live_below</t>
  </si>
  <si>
    <t xml:space="preserve">The peak live count below any fence/weir structure. In case of mark-recapture, is NA. Often an average of two counters, where appropriate (i.e., if both counters were reliable, it is averaged. if not, it is the better count). </t>
  </si>
  <si>
    <t>live_comments</t>
  </si>
  <si>
    <t xml:space="preserve">Comments about the live count data specifically, detailing adjustments, calculations, rationale, etc. </t>
  </si>
  <si>
    <t>ground_cuml_carc_above</t>
  </si>
  <si>
    <t># carcasses</t>
  </si>
  <si>
    <t>Cumulative ground-based carcasses were counted up to (&amp; sometimes including) the day of the peak live count. For aerial count cases where aerial unsexed dead were counted, this is NA. For cases where aerial unsexed dead are not counted, this is given.</t>
  </si>
  <si>
    <t>ground_carcs_above_total</t>
  </si>
  <si>
    <t>Cumulative carcasses counted up to &amp; including the final day of counting. For aerial count cases where aerial unsexed dead were counted, this is NA. For cases where aerial unsexed dead are not counted, this is given.</t>
  </si>
  <si>
    <t>ground_cuml_carc_below</t>
  </si>
  <si>
    <t>Cumulative ground-based carcasses were obtained up to (&amp; sometimes including) the day of the count below another enumeration structure or area (e.g. below a fence or SONAR). For aerial count cases where aerial unsexed dead were counted, this is NA. For cases where aerial unsexed dead are not counted, this is given.</t>
  </si>
  <si>
    <t>aerial_unsexed_above</t>
  </si>
  <si>
    <t xml:space="preserve">Aerial unsexed carcasses made same day as live count. For cases where aerial unsexed dead are not counted, is NA and ground carcasses are given. Often an average of two counters, where appropriate (i.e., if both counters were reliable, it is averaged. if not, it is the better count). </t>
  </si>
  <si>
    <t>aerial_unsexed_below</t>
  </si>
  <si>
    <t xml:space="preserve">Aerial unsexed carcasses below any fence/weir structure made same day as live count. For cases where aerial unsexed dead are not counted, is NA and ground carcasses are given. Can also be NA if no count occurred. Often an average of two counters, where appropriate (i.e., if both counters were reliable, it is averaged. if not, it is the better count). </t>
  </si>
  <si>
    <t>carc_comments</t>
  </si>
  <si>
    <t xml:space="preserve">Comments about the carcass counts specifically, detailing adjustments, calculations, rationale, etc. </t>
  </si>
  <si>
    <t>lpe</t>
  </si>
  <si>
    <t>peak_live + cuml_dead</t>
  </si>
  <si>
    <t>Visual count used in the classic expansion.</t>
  </si>
  <si>
    <t>final_estimates</t>
  </si>
  <si>
    <t>expanded or high accuracy final estimate</t>
  </si>
  <si>
    <t>Expanded visual estimate, typically, lpe * 1.8; OR if there is a high accuracy method used, input that estimate.</t>
  </si>
  <si>
    <t>number_of_est</t>
  </si>
  <si>
    <t>interspp</t>
  </si>
  <si>
    <t>lpe_method</t>
  </si>
  <si>
    <t>ground_carcs_total_above</t>
  </si>
  <si>
    <t>peak_live_dead_count</t>
  </si>
  <si>
    <t>estimate_method</t>
  </si>
  <si>
    <t>final_estimate</t>
  </si>
  <si>
    <t>RSA</t>
  </si>
  <si>
    <t>RSA_reason</t>
  </si>
  <si>
    <t>Early Stuart</t>
  </si>
  <si>
    <t>Takla-Trembleur-Estu</t>
  </si>
  <si>
    <t>Driftwood River</t>
  </si>
  <si>
    <t>Stable</t>
  </si>
  <si>
    <t>Large</t>
  </si>
  <si>
    <t>Clear</t>
  </si>
  <si>
    <t>Medium</t>
  </si>
  <si>
    <t>Full</t>
  </si>
  <si>
    <t>High</t>
  </si>
  <si>
    <t>3.0-bottom</t>
  </si>
  <si>
    <t>Kokanee present, mixed in with spawning SK.</t>
  </si>
  <si>
    <t>Aerial</t>
  </si>
  <si>
    <t>NA</t>
  </si>
  <si>
    <t>Spawning areas shaded. Single survey conducted and used for estimate - timing well before peak based on other EStu systems and 100% holding (likely biased low).</t>
  </si>
  <si>
    <t>1 aerial unsexed.</t>
  </si>
  <si>
    <t>Porter Creek</t>
  </si>
  <si>
    <t>Small</t>
  </si>
  <si>
    <t>Low OE due to vegetative cover. Single survey conducted and used for estimate - timing well before peak based on other EStu systems (likely biased low).</t>
  </si>
  <si>
    <t>Zero carcasses observed.</t>
  </si>
  <si>
    <t>High Vegetation Cover</t>
  </si>
  <si>
    <t>Dust Creek</t>
  </si>
  <si>
    <t>Pt. Turbid / Tannic</t>
  </si>
  <si>
    <t>Bright</t>
  </si>
  <si>
    <t>1.0-3.0</t>
  </si>
  <si>
    <t>A few 1000 Kokanee present. 300 dead Kokanee observed during peak survey.</t>
  </si>
  <si>
    <t>Ground</t>
  </si>
  <si>
    <t>Peak live 25% spawning.</t>
  </si>
  <si>
    <t>Carcasses all sexed, recovered during peak live survey.</t>
  </si>
  <si>
    <t>Frypan Creek</t>
  </si>
  <si>
    <t>Peak live 50% spawning.</t>
  </si>
  <si>
    <t>Zero recoveries.</t>
  </si>
  <si>
    <t>Hudson Bay Creek</t>
  </si>
  <si>
    <t>A few 100 Kokanee present.</t>
  </si>
  <si>
    <t>Peak live 40% spawning.</t>
  </si>
  <si>
    <t>Includes cumulative unsexed dead from before peak live survey due to low abundance/recovery numbers and high predation.</t>
  </si>
  <si>
    <t>Narrows Creek</t>
  </si>
  <si>
    <t>V. Small</t>
  </si>
  <si>
    <t>Dark</t>
  </si>
  <si>
    <t>Kokanee present</t>
  </si>
  <si>
    <t>Peak live 80% spawning.</t>
  </si>
  <si>
    <t>Forfar Creek</t>
  </si>
  <si>
    <t>Peak live 100% holding.</t>
  </si>
  <si>
    <t>O'Ne-ell Creek</t>
  </si>
  <si>
    <t>0.5-1.0</t>
  </si>
  <si>
    <t>Van Decar Creek</t>
  </si>
  <si>
    <t>Two true adult recoveries from peak live survey.</t>
  </si>
  <si>
    <t>Paula Creek</t>
  </si>
  <si>
    <t>&gt;1000 Kokanee at mouth</t>
  </si>
  <si>
    <t>Sidney Creek</t>
  </si>
  <si>
    <t>1000s of Kokanee in all areas up to extent.</t>
  </si>
  <si>
    <t>Ground cuml carc above from surveys up to and including peak live (Aug 15). Includes cumulative unsexed dead due to low abundance/recovery numbers and high predation.</t>
  </si>
  <si>
    <t>Early South Thompson</t>
  </si>
  <si>
    <t>Early Summer</t>
  </si>
  <si>
    <t>Shuswap-ES</t>
  </si>
  <si>
    <t>Eagle River</t>
  </si>
  <si>
    <t>Volatile</t>
  </si>
  <si>
    <t xml:space="preserve">Light </t>
  </si>
  <si>
    <t>High density of kokanee (OE comment)</t>
  </si>
  <si>
    <t>Ground cuml carc above includes 1 carc recovered Sep 5 during peak live survey (no carcs on first two surveys)</t>
  </si>
  <si>
    <t>Inconsistint Survey Schedule; Moderate Counting Conditions</t>
  </si>
  <si>
    <t>Seymour River</t>
  </si>
  <si>
    <t>Ground cuml carc above includes 6 carcs recovered Sep 6 during peak live survey (no carcs on first two surveys)</t>
  </si>
  <si>
    <t>Shuswap - Early Summer</t>
  </si>
  <si>
    <t>Adams River, upper</t>
  </si>
  <si>
    <t>Turbid</t>
  </si>
  <si>
    <t>Low</t>
  </si>
  <si>
    <t>0.25-0.5m</t>
  </si>
  <si>
    <t>No live sockeye observed.</t>
  </si>
  <si>
    <t>Poor Visibility</t>
  </si>
  <si>
    <t>Anstey River</t>
  </si>
  <si>
    <t>Possible Jacks or Kokanee, not included in totals.</t>
  </si>
  <si>
    <t>Perry River</t>
  </si>
  <si>
    <t>Lower Fraser</t>
  </si>
  <si>
    <t>Pitt-ES</t>
  </si>
  <si>
    <t>Upper Pitt River</t>
  </si>
  <si>
    <t xml:space="preserve">Peak live above is averaged aerial counts from all areas of Upper Pitt mainstem. </t>
  </si>
  <si>
    <t>Ground cuml carc above from surveys leading up to peak live survey (191 up to Sep 11), plus 477 aerial unsexed and 56 recovered on ground in 4A side channel (533 total on Sep 12)</t>
  </si>
  <si>
    <t>Large, Turbid, Aerial</t>
  </si>
  <si>
    <t>Nahatlatch-ES</t>
  </si>
  <si>
    <t>Nahatlatch River</t>
  </si>
  <si>
    <t>Peak live above is live count from all areas of Nahatlatch River counted from the boat</t>
  </si>
  <si>
    <t>Ground cuml carc above includes 22 carcs recovered Sep 2 during peak live survey (no carcs on first survey)</t>
  </si>
  <si>
    <t>Corbold Creek</t>
  </si>
  <si>
    <t>0.25-0.5</t>
  </si>
  <si>
    <t xml:space="preserve">Peak live count on Sep 5 (aerial count); 80% spawning, 20% spawned out. </t>
  </si>
  <si>
    <t>Turbid, Aerial</t>
  </si>
  <si>
    <t>Fish Hatchery Creek</t>
  </si>
  <si>
    <t>Peak count Sep. 12; 100% spawning.</t>
  </si>
  <si>
    <t>South Boise Creek</t>
  </si>
  <si>
    <t>Peak live count Sep. 13; 100% spawning.</t>
  </si>
  <si>
    <t>Olsen Creek</t>
  </si>
  <si>
    <t>Peak live count Sep. 13; 80% spawning, 20% spawned out.</t>
  </si>
  <si>
    <t>Upper Pitt Channel</t>
  </si>
  <si>
    <t>Peak live count Sep. 5; 100% spawning.</t>
  </si>
  <si>
    <t>Chilliwack-ES</t>
  </si>
  <si>
    <t>Depot Creek</t>
  </si>
  <si>
    <t>Peak live count Aug. 28; 80% holding, 20% spawning.</t>
  </si>
  <si>
    <t>Paleface Creek</t>
  </si>
  <si>
    <t>Approx 50 Kokanee in first 100m.</t>
  </si>
  <si>
    <t>Peak live count Aug. 28; 65% holding, 35% spawning.</t>
  </si>
  <si>
    <t>Seton-Anderson</t>
  </si>
  <si>
    <t>Anderson-Seton - Early Summer</t>
  </si>
  <si>
    <t>Gates River</t>
  </si>
  <si>
    <t>Peak live count on Aug 31 &amp; Sep 1; 30-80% spawning.</t>
  </si>
  <si>
    <t>Haylmore Creek</t>
  </si>
  <si>
    <t>Peak live count on Sep 1; 50% spawning.</t>
  </si>
  <si>
    <t>Spruce Creek</t>
  </si>
  <si>
    <t>Nechako</t>
  </si>
  <si>
    <t>Nadina-Francois-ES</t>
  </si>
  <si>
    <t>Late Nadina River</t>
  </si>
  <si>
    <t>Peak live above is areas 3-6 (from 2nd bridge to Nadina Lk). Peak live below is areas 1-2 (mouth to 2nd bridge) - mouth excluded (50 fish). Live count is average of two observers.</t>
  </si>
  <si>
    <t>Ground cuml carc from surveys leading up to peak live survey, not including unsexed dead from ground. Aerial carc count from obs 1 only - obs 2 counts only available for two areas and don't see reliable.</t>
  </si>
  <si>
    <t>North Thompson</t>
  </si>
  <si>
    <t>North Barriere - ES</t>
  </si>
  <si>
    <t>Barriere River, upper</t>
  </si>
  <si>
    <t>Ground cuml carc above includes 58 carcs recovered Sep 2 during peak live survey (no carcs on first survey)</t>
  </si>
  <si>
    <t>Upper Fraser</t>
  </si>
  <si>
    <t>Bowron-ES</t>
  </si>
  <si>
    <t>Bowron River, upper</t>
  </si>
  <si>
    <t>Peak live 100% spawning, but protracted spawning observed over 3 weeks. Peak count likely after peak spawning.</t>
  </si>
  <si>
    <t>Ground surveys conducted after peak live survey.</t>
  </si>
  <si>
    <t>Late Stuart</t>
  </si>
  <si>
    <t>Summer</t>
  </si>
  <si>
    <t>Takla-Trembleur-Stuart-S</t>
  </si>
  <si>
    <t>Kazchek Creek</t>
  </si>
  <si>
    <t>Same live count on back to back surveys; first majority holding; second 90% spawning.</t>
  </si>
  <si>
    <t>Kuzkwa Creek</t>
  </si>
  <si>
    <t>Peak live count from peak live ground survey of A1 (Sep. 18) and aerial live count of A2 (Sep. 25). POS lines up better with peak ground survey but no aerial survey until Sep. 25. Environmentals are from Sep 18 when greater proportion of peak counted.</t>
  </si>
  <si>
    <t>Cumulative carcasses used for estimate = 25. 22 sexed carcasses from ground surveys, 3 unsexed carcasses from aerial survey.</t>
  </si>
  <si>
    <t>Tannic, Aerial, Survey Schedule</t>
  </si>
  <si>
    <t>Middle River</t>
  </si>
  <si>
    <t>X-Large</t>
  </si>
  <si>
    <t>Peak live aerial from one observer. Observer 2 count 38% difference.</t>
  </si>
  <si>
    <t>Cumulative carcasses used for estimate = 80. 50 sexed recovered on ground leading up to peak survey. 30 unsexed observed during aerial.</t>
  </si>
  <si>
    <t>X-Large, Tannic, Aerial</t>
  </si>
  <si>
    <t>Pinchi Creek</t>
  </si>
  <si>
    <t>Peak live 85% spawning. Good visibility in some areas and very poor in others. Very low water in some areas as well.</t>
  </si>
  <si>
    <t>Predation made recovery very difficult.</t>
  </si>
  <si>
    <t>Tachie River</t>
  </si>
  <si>
    <t>Peak live 100% spawning. Fish visibility variable. Tannic water and rain made it difficult to count deeper fish.</t>
  </si>
  <si>
    <t>Cumulative carcasses used for estimate = 16. 13 sexed recovered during ground surveys leading up to peak aerial. 3 unsexed observed during aerial.</t>
  </si>
  <si>
    <t>X-Large, Tannic, Aerial, Deep</t>
  </si>
  <si>
    <t>Francois-Fraser-S</t>
  </si>
  <si>
    <t>Stellako River</t>
  </si>
  <si>
    <t>Peak live above the fence is areas 1-9. Peak live below the fence is area 10 (not surveyed). Live count is from one observer.</t>
  </si>
  <si>
    <t>No carcasses counted during ground survey, live count only. Ground cumulative above comes from recovery surveys up until the day before the peak live survey.</t>
  </si>
  <si>
    <t>Kamloops-ES</t>
  </si>
  <si>
    <t>Raft River</t>
  </si>
  <si>
    <t>Medium, Evidence from Prior Calibration Point</t>
  </si>
  <si>
    <t>Quesnel</t>
  </si>
  <si>
    <t>Cariboo-S</t>
  </si>
  <si>
    <t>Cariboo River, upper</t>
  </si>
  <si>
    <t>Peak live 100% spawning/spawned out. All fish observed in side channel (A3). Small group of fish spawning in mainstem observed during first survey.</t>
  </si>
  <si>
    <t>12 unsexed carcasses observed during first aerial survey. Not included in estimate.</t>
  </si>
  <si>
    <t>Large, Turbid, Survey Schedule</t>
  </si>
  <si>
    <t>Middle Fraser - River Type</t>
  </si>
  <si>
    <t>Quesnel River</t>
  </si>
  <si>
    <t>Opportunistic survey - peak live survey by CNCO. Peak live above is peak live count * % spawning.</t>
  </si>
  <si>
    <t>No recovery surveys conducted.</t>
  </si>
  <si>
    <t>Large, Aerial, High Water</t>
  </si>
  <si>
    <t>Quesnel-S</t>
  </si>
  <si>
    <t>Deception Point</t>
  </si>
  <si>
    <t>Shoreline survey by boat. Survey during clear, calm, sunny conditions making deep redds visible.</t>
  </si>
  <si>
    <t>All recoveries from peak survey. 2 sexed, 3 unsexed.</t>
  </si>
  <si>
    <t>Deep</t>
  </si>
  <si>
    <t>Horsefly River</t>
  </si>
  <si>
    <t>Peak live survey conducted over 3 consecutive days (areas 9, 10 on Sep 18, area 5 on Sep 19, and areas 2,3 on Sep 20). Peak live count is sum of counts from all three days.</t>
  </si>
  <si>
    <t>Medium, Tannic, Protracted, Aerial, Survey Schedule</t>
  </si>
  <si>
    <t>Little Horsefly River</t>
  </si>
  <si>
    <t>Peak live 85% spawning.</t>
  </si>
  <si>
    <t>Quesnel Lake - North Arm Shore - East</t>
  </si>
  <si>
    <t>Peak live count from aerial survey, 1 week prior to peak observed in other North Arm shore (Deception) but no SK observed on ground after aerial. Unclear if spawning during aerial.</t>
  </si>
  <si>
    <t>(Peak Live + Cumulative Dead)*Expansion</t>
  </si>
  <si>
    <t>Mitchell River</t>
  </si>
  <si>
    <t>Peak live count from ground survey the day after singular aerial survey conducted. Aerial survey covers more areas, although no SK observed in areas missed during ground survey.</t>
  </si>
  <si>
    <t>Glacial, Late, Aerial, Survey Schedule</t>
  </si>
  <si>
    <t>Summit Creek</t>
  </si>
  <si>
    <t>Peak live count during last survey; 100% spawning.</t>
  </si>
  <si>
    <t>Widgeon (River-Type)</t>
  </si>
  <si>
    <t>Widgeon Slough</t>
  </si>
  <si>
    <t>Peak live count from aerial survey; 15% spawning, 85% spawned out.</t>
  </si>
  <si>
    <t>Many predator affected fish and many Chum carcasses observed on the ground.</t>
  </si>
  <si>
    <t>Kamloops - Early Summer</t>
  </si>
  <si>
    <t>Barriere River</t>
  </si>
  <si>
    <t>Mid Fraser</t>
  </si>
  <si>
    <t>Middle Fraser - River Type (Unvalidated)</t>
  </si>
  <si>
    <t>Bridge River</t>
  </si>
  <si>
    <t>Turbid, Incomplete Survey Area</t>
  </si>
  <si>
    <t>Late South Thompson</t>
  </si>
  <si>
    <t>Late</t>
  </si>
  <si>
    <t>Shuswap Complex-L</t>
  </si>
  <si>
    <t>Adams River, lower</t>
  </si>
  <si>
    <t>Little River</t>
  </si>
  <si>
    <t>Lower Shuswap River</t>
  </si>
  <si>
    <t>Peak live 100% spawning. Fish visibility high, but OE fair (45%) due to boat survey in large river</t>
  </si>
  <si>
    <t>Ground cuml carc above includes 2 carcs recovered October 18 during peak live survey (1 carc recovered on first survey)</t>
  </si>
  <si>
    <t>Large, Turbid</t>
  </si>
  <si>
    <t>Shuswap Complex - Late</t>
  </si>
  <si>
    <t>Middle Shuswap River</t>
  </si>
  <si>
    <t>Seton-L</t>
  </si>
  <si>
    <t>Portage Creek</t>
  </si>
  <si>
    <t>Peak live 90% spawning. Fish visibility high</t>
  </si>
  <si>
    <t>Ground cuml carc above includes 16 carcs recovered October 23 during peak live survey (0 carcs recovered on first survey)</t>
  </si>
  <si>
    <t>Harrison-Lillooet</t>
  </si>
  <si>
    <t>Lillooet-Harrison - Late</t>
  </si>
  <si>
    <t>Green River</t>
  </si>
  <si>
    <t>Peak live count on Sep. 18, 2024; 80% spawning, 15% holding, 5% spawned out. All fish observed in side channel (A3).</t>
  </si>
  <si>
    <t>Year</t>
  </si>
  <si>
    <t>Watershed Group Name</t>
  </si>
  <si>
    <t>Stock Name(stream)</t>
  </si>
  <si>
    <t>Timing Group</t>
  </si>
  <si>
    <t>CU Name</t>
  </si>
  <si>
    <t>spnpeak</t>
  </si>
  <si>
    <t>arrival</t>
  </si>
  <si>
    <t>Total</t>
  </si>
  <si>
    <t>jacks</t>
  </si>
  <si>
    <t>males</t>
  </si>
  <si>
    <t>females</t>
  </si>
  <si>
    <t>spawn%</t>
  </si>
  <si>
    <t>eff_fem</t>
  </si>
  <si>
    <t>remarks</t>
  </si>
  <si>
    <t>Estimate Method</t>
  </si>
  <si>
    <t>Survey Start</t>
  </si>
  <si>
    <t>Survey End</t>
  </si>
  <si>
    <t>Number Inspections</t>
  </si>
  <si>
    <t>est_type</t>
  </si>
  <si>
    <t>Forecast</t>
  </si>
  <si>
    <t>T1</t>
  </si>
  <si>
    <t>Takla-Trembleur - Early Stuart</t>
  </si>
  <si>
    <t>One aerial survey conducted. Takla-Trembleur-Early Stuart composite sex ratio and twenty-year average (2004-2023) spawn success applied.</t>
  </si>
  <si>
    <t>Type-4: Relative Abundance, medium resolution</t>
  </si>
  <si>
    <t>Kotsine River</t>
  </si>
  <si>
    <t>One aerial survey conducted. No live or dead sockeye observed.</t>
  </si>
  <si>
    <t>Crow Creek</t>
  </si>
  <si>
    <t>Six ground surveys conducted; no sockeye observed.</t>
  </si>
  <si>
    <t>Type-3: Relative Abundance, high resolution</t>
  </si>
  <si>
    <t>Aug. 16-21, 2024</t>
  </si>
  <si>
    <t>Early August</t>
  </si>
  <si>
    <t>Ten ground surveys conducted. High predation. Takla-Trembleur-Early Stuart composite sex ratio and twenty-year average (2004-2023) spawn success applied.</t>
  </si>
  <si>
    <t>Hooker Creek</t>
  </si>
  <si>
    <t>Six ground surveys conducted. No sockeye observed.</t>
  </si>
  <si>
    <t>Point Creek</t>
  </si>
  <si>
    <t>Sinta Creek</t>
  </si>
  <si>
    <t>Five ground surveys conducted; no sockeye observed.</t>
  </si>
  <si>
    <t>Ankwill Creek</t>
  </si>
  <si>
    <t>Two ground surveys conducted; no sockeye observed.</t>
  </si>
  <si>
    <t>Blanchet Creek</t>
  </si>
  <si>
    <t>Blanchet North Creek</t>
  </si>
  <si>
    <t>15 Mile Creek</t>
  </si>
  <si>
    <t>25 Mile Creek</t>
  </si>
  <si>
    <t>Ten ground surveys conducted. 1990-2009 system average cycle index applied. Takla-Trembleur-Early Stuart composite sex ratio and 20-year average (2004-2023) spawn success applied.</t>
  </si>
  <si>
    <t>Aug. 15-20, 2024</t>
  </si>
  <si>
    <t>Ten ground surveys conducted. System average (1990-2009) 4 day cycle index applied.Takla-Trembleur-EStu composite sex ratio and 20-year average (2004-2023) spawn success applied.</t>
  </si>
  <si>
    <t>Lovell Creek</t>
  </si>
  <si>
    <t>Six rgound surveys conducted; no sockeye observed.</t>
  </si>
  <si>
    <t>Maclaing Creek</t>
  </si>
  <si>
    <t>Shale Creek</t>
  </si>
  <si>
    <t>Tliti Creek</t>
  </si>
  <si>
    <t>Bivouac Creek</t>
  </si>
  <si>
    <t>Gluske Creek</t>
  </si>
  <si>
    <t>One ground survey of mouth conducted; no sockeye observed. Large beaver dam. Surveys halted due to safety concerns.</t>
  </si>
  <si>
    <t>Type-5: Relative Abundance, low resolution</t>
  </si>
  <si>
    <t>Leo Creek</t>
  </si>
  <si>
    <t>Ten ground surveys conducted. System average (1990-2009) cycle index applied. Takla-Trembleur-Early Stuat composite sex ratio and 20-year average (2004-2023) spawn success applied.</t>
  </si>
  <si>
    <t>Sakeniche River</t>
  </si>
  <si>
    <t>Sandpoint Creek</t>
  </si>
  <si>
    <t>Five ground surveys; no sockeye observed.</t>
  </si>
  <si>
    <t>Baptiste Creek</t>
  </si>
  <si>
    <t>Five ground surveys conducted; no sockeye observed..</t>
  </si>
  <si>
    <t>Aug. 17-22, 2024</t>
  </si>
  <si>
    <t>Eleven ground surveys conducted. Forfar Creek average index applied. Takla-Trembleur-Early Stuart composite sex ratio and 20-year average (2004-2023) spawn success applied.</t>
  </si>
  <si>
    <t>Middle River (Rossette Bar)</t>
  </si>
  <si>
    <t>Ten ground surveys conducted. O'Ne-Ell Creek average index applied. Takla-Trembleur-Early Stuart composite sex ratio and 20-year average (2004-2023) spawn success applied</t>
  </si>
  <si>
    <t>Aug. 14-19, 2024</t>
  </si>
  <si>
    <t>Eleven ground surveys conducted. Brood stock fence observed Aug. 13-17th. System average (1990-2009) 4 day cycle index applied.Takla-Trembleur-EStu composite sex ratio and 20-year average (2004-2023) spawn success applied.</t>
  </si>
  <si>
    <t>Seven ground surveys conducted. System average (1990-2009) 4 day cycle index applied. Takla-Trembleur-Early Stuart composite sex ratio and 20-year average (2004-2023) spawn success applied.</t>
  </si>
  <si>
    <t>Aug. 15-20,2024</t>
  </si>
  <si>
    <t>Twelve ground surveys conducted. Predation prevalent. System average (1990-2009) 4 day cycle index applied. Takla-Trembleur-Early Stuart 20-year average (2004-2023) spawn success applied.</t>
  </si>
  <si>
    <t>Chilliwack Lake</t>
  </si>
  <si>
    <t>T2</t>
  </si>
  <si>
    <t>Chilliwack - Early Summer</t>
  </si>
  <si>
    <t>Three ground surveys conducted. Population estimate based on IPSFC recovery/effort expansion. Chilliwack-ES composite sex ratio and success of spawn applied.</t>
  </si>
  <si>
    <t>Lake Expansion</t>
  </si>
  <si>
    <t>Chilliwack River, upper</t>
  </si>
  <si>
    <t>Sep. 17-25, 2024</t>
  </si>
  <si>
    <t>SONAR operational Jul. 10 to Sep. 9. 1.1% of estimate extrapolated.</t>
  </si>
  <si>
    <t>DIDSON/ARIS counter</t>
  </si>
  <si>
    <t>Type-2: True Abundance, medium resolution</t>
  </si>
  <si>
    <t>Aug. 30 - Sep. 5, 2024</t>
  </si>
  <si>
    <t>Five ground surveys conducted. Chilliwack-ES composite sex ratio and spawn success applied.</t>
  </si>
  <si>
    <t>Aug. 28 - Sep. 3, 2024</t>
  </si>
  <si>
    <t>Late August</t>
  </si>
  <si>
    <t>Five ground surveys conducted. Chilliwack-ES composite sex ratio and spawnsuccess applied.</t>
  </si>
  <si>
    <t>Nahatlatch Lake</t>
  </si>
  <si>
    <t>Nahatlatch - Early Summer</t>
  </si>
  <si>
    <t>Four ground surveys conducted. Population estimates based on IPSFC recovery/effort expansion.</t>
  </si>
  <si>
    <t>Sep. 1-8, 2024</t>
  </si>
  <si>
    <t>Four ground surveys conducted.</t>
  </si>
  <si>
    <t>Ballpark Creek</t>
  </si>
  <si>
    <t>Pitt - Early Summer</t>
  </si>
  <si>
    <t>To ground surveys conducted; no sockeye observed.</t>
  </si>
  <si>
    <t>Blue Creek</t>
  </si>
  <si>
    <t>Three ground surveys conducted. No sockeye observed.</t>
  </si>
  <si>
    <t>Sep. 3-10, 2024</t>
  </si>
  <si>
    <t>Four ground surveys and three aerial surveys conducted.</t>
  </si>
  <si>
    <t>Sep. 10-17, 2024</t>
  </si>
  <si>
    <t>Mid September</t>
  </si>
  <si>
    <t>Four ground surveys conducted. Pitt-ES composite sex ratio and success of spawn applied.</t>
  </si>
  <si>
    <t>North Boise Creek</t>
  </si>
  <si>
    <t>Three ground surveys and one aerial survey conducted. No sockeye observed.</t>
  </si>
  <si>
    <t>Sep. 8-13, 2024</t>
  </si>
  <si>
    <t>Two ground surveys conducted. Pitt-ES composite sex ratio and success of spawn applied.</t>
  </si>
  <si>
    <t>Sep. 5-12, 2024</t>
  </si>
  <si>
    <t>Four ground surveys and three aerial surveys conducted. Low water during final ground survey.</t>
  </si>
  <si>
    <t>Sep. 9-16, 2024</t>
  </si>
  <si>
    <t>Three ground surveys conducted. Pitt-ES composite sex ratio and success of spawn applied.</t>
  </si>
  <si>
    <t>Aug. 29 - Sep.4, 2024</t>
  </si>
  <si>
    <t>Five ground surveys conducted. High water event Aug 24-25, higher flows and turbidity following the Poole Creek slide.</t>
  </si>
  <si>
    <t>Sep. 1-5, 2024</t>
  </si>
  <si>
    <t>Five ground surveys conducted. Seton-Anderson-ES composite sex ratio and success of spawn applied.</t>
  </si>
  <si>
    <t>Sep. 2-6, 2024</t>
  </si>
  <si>
    <t>Four ground surveys conducted. Seton-Anderson-ES composite sex ratio and success of spawn applied.</t>
  </si>
  <si>
    <t>Three ground surveys conducted; no sockeye observed.</t>
  </si>
  <si>
    <t>Three boat surveys conducted; no live sockeye observed. Shuswap-ES composite adult sex ratio and success of spawn applied.</t>
  </si>
  <si>
    <t>Sep. 6-12, 2024</t>
  </si>
  <si>
    <t>Four ground surveys conducted. Shuswap-Escomposite sex ratio and success of spawn applied.</t>
  </si>
  <si>
    <t>Burton Creek</t>
  </si>
  <si>
    <t>Sep. 4-10, 2024</t>
  </si>
  <si>
    <t>Three ground surveys conducted. Shuswap-ES composite adult sex ratio and success of spawn applied.</t>
  </si>
  <si>
    <t>Cayenne Creek</t>
  </si>
  <si>
    <t>Sep. 4-8, 2024</t>
  </si>
  <si>
    <t>Three ground surveys conducted. First survey affected by high water. Shuswap-ES composite adult sex ratio and success of spawn applied.</t>
  </si>
  <si>
    <t>Celista Creek</t>
  </si>
  <si>
    <t>Craigellachie Creek</t>
  </si>
  <si>
    <t>One ground survey conducted; no sockeye observed.</t>
  </si>
  <si>
    <t>Crazy Creek</t>
  </si>
  <si>
    <t>Sep. 5-11, 2024</t>
  </si>
  <si>
    <t>Five boat surveys conducted. Shuswap-ES composite sex ratio and success of spawn applied.</t>
  </si>
  <si>
    <t>Four Mile Creek</t>
  </si>
  <si>
    <t>Four Mile Creek - Shore</t>
  </si>
  <si>
    <t>Hiuihill Creek</t>
  </si>
  <si>
    <t>Hunakwa Creek</t>
  </si>
  <si>
    <t>Loftus Creek</t>
  </si>
  <si>
    <t>Four ground surveys conducted; no sockeye observed.</t>
  </si>
  <si>
    <t>McNomee Creek</t>
  </si>
  <si>
    <t>Momich River, lower</t>
  </si>
  <si>
    <t>Three ground surveys conducted; no Momich sockeye observed.</t>
  </si>
  <si>
    <t>Nikwikwaia Creek</t>
  </si>
  <si>
    <t>Onyx Creek</t>
  </si>
  <si>
    <t>Ross Creek</t>
  </si>
  <si>
    <t>Five ground surveys conducted. Shuswap-ES composite adult sex ratio and success of spawn applied.</t>
  </si>
  <si>
    <t>Scotch Creek</t>
  </si>
  <si>
    <t>Fence operational Aug. 16 to Sep. 19; fence operated by Skwlāx te Secwepemcúl̓ecw.</t>
  </si>
  <si>
    <t>Type-1: True Abundance, high resolution</t>
  </si>
  <si>
    <t>Six ground surveys conducted.</t>
  </si>
  <si>
    <t>Sinmax Creek</t>
  </si>
  <si>
    <t>Yard Creek</t>
  </si>
  <si>
    <t>North Barriere - Early Summer</t>
  </si>
  <si>
    <t>Five ground surveys conducted.</t>
  </si>
  <si>
    <t>Harper Creek</t>
  </si>
  <si>
    <t>Sep. 6-10, 2024</t>
  </si>
  <si>
    <t>Early September</t>
  </si>
  <si>
    <t>Three ground surveys conducted. North Barriere-ES composite sex ratio and success of spawn applied.</t>
  </si>
  <si>
    <t>Chilcotin</t>
  </si>
  <si>
    <t>Taseko Lake</t>
  </si>
  <si>
    <t>Taseko - Early Summer</t>
  </si>
  <si>
    <t>SONAR operational from Jul. 25th to Sep. 13th. 50/50 sex ratio assumed. 100% spawn success assumed. Sonar operated by TNG.</t>
  </si>
  <si>
    <t>Glacier Creek</t>
  </si>
  <si>
    <t>Nadina-Francois - Early Summer</t>
  </si>
  <si>
    <t>One aerial survey conducted; no sockeye observed.</t>
  </si>
  <si>
    <t>Sep. 18-24, 2024</t>
  </si>
  <si>
    <t>Late July</t>
  </si>
  <si>
    <t>SONAR operational Jul. 26 - Sep.26.</t>
  </si>
  <si>
    <t>Late Nadina Channel</t>
  </si>
  <si>
    <t>Information provided by SEP channel operator; estimate does not include section between river and fence. High water temperatures. High predation on both live and dead fish.</t>
  </si>
  <si>
    <t>Fixed Site Census</t>
  </si>
  <si>
    <t>Bowron - Early Summer</t>
  </si>
  <si>
    <t>Aug. 28 - Sep. 7, 2024</t>
  </si>
  <si>
    <t>Two aerial and two ground surveys conducted. Expansion index of 2.8 calculated from historic fence program.Sex ratio and success of spawn assumed (20-year average 2004-2023).</t>
  </si>
  <si>
    <t>Huckey Creek</t>
  </si>
  <si>
    <t>Two aerial surveys conducted; no sockeye observed.</t>
  </si>
  <si>
    <t>Indianpoint Creek</t>
  </si>
  <si>
    <t>Indian-Kruger - Early Summer (Unvalidated)</t>
  </si>
  <si>
    <t>Bowron River, lower</t>
  </si>
  <si>
    <t>Upper Fraser - River Type (Unvalidated)</t>
  </si>
  <si>
    <t>Three aerial surveys conducted; migratory sockeye observed but no spawning. No population enumated.</t>
  </si>
  <si>
    <t>T3</t>
  </si>
  <si>
    <t>One aerial and one ground survey conducted on the same day. Many predated fish. Assumed sex ratio and spawn success.</t>
  </si>
  <si>
    <t>Harrison River</t>
  </si>
  <si>
    <t>Harrison River (River-Type)</t>
  </si>
  <si>
    <t>Nov. 9-17, 2025</t>
  </si>
  <si>
    <t>Mark &amp; Recapture: Petersen</t>
  </si>
  <si>
    <t>North Thompson River</t>
  </si>
  <si>
    <t>Sep. 20-23, 2024</t>
  </si>
  <si>
    <t>One aerial and fourground surveys conducted. Poor visibility for final ground surveys. Kamloops-ES composite adult sex ratio and success of spawn applied.</t>
  </si>
  <si>
    <t>One aerial survey conducted. Kamloops-ES composite adult sex ratio and success of spawnapplied.</t>
  </si>
  <si>
    <t>Lemieux Creek</t>
  </si>
  <si>
    <t>Sep. 10-15, 2024</t>
  </si>
  <si>
    <t>Mann Creek</t>
  </si>
  <si>
    <t>Sep. 9-15, 2024</t>
  </si>
  <si>
    <t>Five ground surveys conducted. 16 sacrificed females subtracted from effective females.</t>
  </si>
  <si>
    <t>Chilko River</t>
  </si>
  <si>
    <t>Chilko - Summer</t>
  </si>
  <si>
    <t>Oct 1-11, 2024</t>
  </si>
  <si>
    <t>Sonar operational from Jul. 31-Oct. 11, 2024. A landslide occurrred in the Chilcotin River on July 30, 2024. 30km upstream of Fraser Confluence, greatly impacting upstream migration of sockeye. Delay in peak of migration and peak of spawning. Sex ratio skewed towards male. 2% of estimate interpolated, 4% extrapolated.</t>
  </si>
  <si>
    <t>Three ground surveys conducted.</t>
  </si>
  <si>
    <t>West Road River</t>
  </si>
  <si>
    <t>Baezaeko River</t>
  </si>
  <si>
    <t>Cariboo - Summer (Unvalidated)</t>
  </si>
  <si>
    <t>Sep. 12-18, 2024</t>
  </si>
  <si>
    <t>Two aerial and one ground survey conducted. Approximated sex ratio and success of spawn using Quesnel-S.</t>
  </si>
  <si>
    <t>Cariboo River, lower</t>
  </si>
  <si>
    <t>Fraser River Migratory Counts</t>
  </si>
  <si>
    <t>Two aerial surveys conducted; no spawning sockeye observed.</t>
  </si>
  <si>
    <t>Sep. 28, 2024</t>
  </si>
  <si>
    <t>Two aerial surveys conducted. Sex ratio and spawn success approximated using Quesnel-S.</t>
  </si>
  <si>
    <t>Bill Miner Creek</t>
  </si>
  <si>
    <t>Quesnel - Summer</t>
  </si>
  <si>
    <t>Blue Lead Creek</t>
  </si>
  <si>
    <t>Cameron Creek</t>
  </si>
  <si>
    <t>Sep. 26-30, 2024</t>
  </si>
  <si>
    <t>One aerial, six ground surveys conducted. Quesnel-S composite adult sex ratio and success of spawn applied.</t>
  </si>
  <si>
    <t>Sep. 16-20, 2024</t>
  </si>
  <si>
    <t>Mid August</t>
  </si>
  <si>
    <t>One aerial and seven ground surveys conducted.</t>
  </si>
  <si>
    <t>Oct. 1-5, 2024</t>
  </si>
  <si>
    <t>Eight ground surveys conducted. Sockeye arrival was later than average.</t>
  </si>
  <si>
    <t>Lynx Creek</t>
  </si>
  <si>
    <t>McKinley Creek, lower</t>
  </si>
  <si>
    <t>Sep.22-26, 2024</t>
  </si>
  <si>
    <t>Seven ground surveys and one aerial survey conducted. Quesnel-S composite adult sex ratio and success of spawn applied.</t>
  </si>
  <si>
    <t>Penfold Creek</t>
  </si>
  <si>
    <t>Roaring River</t>
  </si>
  <si>
    <t>End of September</t>
  </si>
  <si>
    <t>Six ground surveys conducted. Quesnel-S composite dult sex ratio and success of spawn applied.</t>
  </si>
  <si>
    <t>Wasko Creek</t>
  </si>
  <si>
    <t>Watt Creek</t>
  </si>
  <si>
    <t>Francois-Fraser - Summer</t>
  </si>
  <si>
    <t>Oct. 4-10, 2024</t>
  </si>
  <si>
    <t>Early Sep.</t>
  </si>
  <si>
    <t>SONAR operational from Jul. 25 - Oct. 7, 2024. 2% of estimate interpolated, 0.06% extrapolated. Low water event from early Sep. to mid Oct.</t>
  </si>
  <si>
    <t>Nechako River</t>
  </si>
  <si>
    <t>Three aerial surveys conducted; no sockeye observed.</t>
  </si>
  <si>
    <t>Takla-Trembleur-Stuart - Summer</t>
  </si>
  <si>
    <t>Sep. 20-26, 2024</t>
  </si>
  <si>
    <t>Seven ground surveys conducted. Heavy predation. Takla-Trembleur-Stuart-S composite adult sex ratioand success of spawn applied.</t>
  </si>
  <si>
    <t>One aerial, nine ground surveys conducted. High predation. Low water levels throughout program.</t>
  </si>
  <si>
    <t>Sep. 22-28, 2024</t>
  </si>
  <si>
    <t>One aerial survey and ten ground surveys conducted.</t>
  </si>
  <si>
    <t>Sep. 25 - Oct. 1, 2024</t>
  </si>
  <si>
    <t>Ten ground surveys conducted. Heavy predation. Takla-Trembleur-Stuart-S composite adult sex ratio and success of spawn applied.</t>
  </si>
  <si>
    <t>One aerial and ten ground surveys conducted.</t>
  </si>
  <si>
    <t>Birkenhead River</t>
  </si>
  <si>
    <t>T4</t>
  </si>
  <si>
    <t>Sep. 17-23, 2024</t>
  </si>
  <si>
    <t>SONAR operational from Aug. 14 to Sep. 28, 2024. 5% of estimate was extrapolated or interpolated.</t>
  </si>
  <si>
    <t>Sep. 15-21, 2024</t>
  </si>
  <si>
    <t>Five ground surveys conducted. Lillooet-Harrison-L composite sex ratio and success of spawn applied.</t>
  </si>
  <si>
    <t>Joffre Creek</t>
  </si>
  <si>
    <t>Owl Creek</t>
  </si>
  <si>
    <t>One ground survey conducted; no sockeye observed</t>
  </si>
  <si>
    <t>Pemberton Creek</t>
  </si>
  <si>
    <t>Three ground surveys conducted; nosockeye observed.</t>
  </si>
  <si>
    <t>Railroad Creek</t>
  </si>
  <si>
    <t>Ryan River</t>
  </si>
  <si>
    <t>Sampson Creek</t>
  </si>
  <si>
    <t>Ure Creek</t>
  </si>
  <si>
    <t>Big Silver Creek</t>
  </si>
  <si>
    <t>Harrison (D/S) - Late</t>
  </si>
  <si>
    <t>Four ground surveys conducted. Sex ratio and spawn success assumed.</t>
  </si>
  <si>
    <t>Cogburn Creek</t>
  </si>
  <si>
    <t>Weaver Channel</t>
  </si>
  <si>
    <t>Harrison (U/S) - Late</t>
  </si>
  <si>
    <t>Oct. 7, 2024</t>
  </si>
  <si>
    <t>Spawning channel operational from Sep. 23 to Oct 30, 2024. Significant rain events in late October. Estimate based on dead recovery. Data provided by SEP channel operator.</t>
  </si>
  <si>
    <t>Weaver Creek</t>
  </si>
  <si>
    <t>Oct. 15-21, 2024</t>
  </si>
  <si>
    <t>Early October</t>
  </si>
  <si>
    <t>Five ground surveys conducted. Harrison (U/S)-L-CU composite sex ratio and success of spawn applied.</t>
  </si>
  <si>
    <t>Seton - Late</t>
  </si>
  <si>
    <t>Oct. 23-27, 2024</t>
  </si>
  <si>
    <t>Mid October</t>
  </si>
  <si>
    <t>Four ground surveys conducted. Sex ration is assumed.</t>
  </si>
  <si>
    <t>Momich River - Shore</t>
  </si>
  <si>
    <t>Oct. 16-22, 2024</t>
  </si>
  <si>
    <t>Four ground surveys codnucted. Shuswap Complex-L composite sex ratio and 20-year average (2004-2023) spawn success applied.</t>
  </si>
  <si>
    <t>Oct 15-21, 2024</t>
  </si>
  <si>
    <t>Six ground surveys conducted. Shuswap Complex-L composite sex ratio and 20-year average (2004-2023) spawn success applied.</t>
  </si>
  <si>
    <t>Hlina Creek</t>
  </si>
  <si>
    <t>One ground survey conducted by Adams River Salmon Society staff. First observations of spawners in Hlina creek in this time series. Possibly lakeshore spawners. Sex ratio assumed. Spawn success used 20 year average.</t>
  </si>
  <si>
    <t>Cultus Lake</t>
  </si>
  <si>
    <t>Cultus - Late</t>
  </si>
  <si>
    <t>Aug. 26, 2024</t>
  </si>
  <si>
    <t>Fence operational from Jul. 29 - Dec. 2. High temperature events from late July to late September. Spawning success assumed.</t>
  </si>
  <si>
    <t>One ground survey; no sockeye observed.</t>
  </si>
  <si>
    <t>Two ground surveys conducted; no sockeye observed on ground survey. Sockeye count from Coho fence. Fence operational from Oct 1 - Oct 18, 2024 before SONAR was installed.</t>
  </si>
  <si>
    <t>One ground survey condicted; no sockeye observed.</t>
  </si>
  <si>
    <t>Salmon River</t>
  </si>
  <si>
    <t>Fence operational from Jul. 18 - Nov.19, 2024. No sockeye observed. Fence operated primarily for CN/CO counts.</t>
  </si>
  <si>
    <t>Two ground surveys conducted. No escapement given as one spawned out female is likely from Early Summer Run.</t>
  </si>
  <si>
    <t>Bessette Creek</t>
  </si>
  <si>
    <t>Cooke Creek</t>
  </si>
  <si>
    <t>Oct. 17-23, 2024</t>
  </si>
  <si>
    <t>Four ground surveys conducted. Shuswap Complex-L compositesex ratio and 20-year average (2004-2023) spawn success applied.</t>
  </si>
  <si>
    <t>Three ground surveys conducted. Sex ratio and success of spawn is assumed.</t>
  </si>
  <si>
    <t>Noisy Creek</t>
  </si>
  <si>
    <t>Trinity Creek</t>
  </si>
  <si>
    <t>Tsuius Creek</t>
  </si>
  <si>
    <t>Wap Creek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</si>
</sst>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Arial"/>
      <family val="2"/>
    </font>
    <font>
      <sz val="10"/>
      <color theme="1"/>
      <name val="Arial"/>
      <family val="2"/>
    </font>
    <font>
      <b/>
      <sz val="10"/>
      <name val="Arial"/>
      <family val="2"/>
    </font>
    <font>
      <i/>
      <sz val="10"/>
      <color theme="0" tint="-0.499984740745262"/>
      <name val="Arial"/>
      <family val="2"/>
    </font>
    <font>
      <b/>
      <i/>
      <sz val="16"/>
      <color theme="1"/>
      <name val="Arial"/>
      <family val="2"/>
    </font>
    <font>
      <sz val="16"/>
      <color theme="1"/>
      <name val="Arial"/>
      <family val="2"/>
    </font>
    <font>
      <b/>
      <sz val="16"/>
      <color theme="1"/>
      <name val="Arial"/>
      <family val="2"/>
    </font>
    <font>
      <sz val="16"/>
      <name val="Arial"/>
      <family val="2"/>
    </font>
    <font>
      <sz val="16"/>
      <color rgb="FFFF0000"/>
      <name val="Arial"/>
      <family val="2"/>
    </font>
    <font>
      <vertAlign val="superscript"/>
      <sz val="16"/>
      <color theme="1"/>
      <name val="Arial"/>
      <family val="2"/>
    </font>
    <font>
      <sz val="10"/>
      <name val="Arial"/>
      <family val="2"/>
    </font>
    <font>
      <sz val="10"/>
      <color rgb="FF000000"/>
      <name val="Arial"/>
      <family val="2"/>
    </font>
    <font>
      <sz val="11"/>
      <color rgb="FF242424"/>
      <name val="Aptos Narrow"/>
      <charset val="1"/>
    </font>
    <font>
      <sz val="10"/>
      <color rgb="FF000000"/>
      <name val="Arial"/>
    </font>
    <font>
      <sz val="10"/>
      <color theme="1"/>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bottom/>
      <diagonal/>
    </border>
    <border>
      <left style="thin">
        <color auto="1"/>
      </left>
      <right/>
      <top/>
      <bottom/>
      <diagonal/>
    </border>
    <border>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5">
    <xf numFmtId="0" fontId="0" fillId="0" borderId="0" xfId="0"/>
    <xf numFmtId="0" fontId="19" fillId="0" borderId="0" xfId="0" applyFont="1"/>
    <xf numFmtId="0" fontId="18" fillId="0" borderId="0" xfId="0" applyFont="1" applyAlignment="1">
      <alignment horizontal="left"/>
    </xf>
    <xf numFmtId="0" fontId="19" fillId="0" borderId="0" xfId="0" applyFont="1" applyAlignment="1">
      <alignment horizontal="left"/>
    </xf>
    <xf numFmtId="0" fontId="19" fillId="0" borderId="0" xfId="0" applyFont="1" applyAlignment="1">
      <alignment horizontal="center"/>
    </xf>
    <xf numFmtId="0" fontId="19" fillId="33" borderId="0" xfId="0" applyFont="1" applyFill="1"/>
    <xf numFmtId="0" fontId="19" fillId="0" borderId="10" xfId="0" applyFont="1" applyBorder="1" applyAlignment="1">
      <alignment horizontal="left"/>
    </xf>
    <xf numFmtId="16" fontId="19" fillId="0" borderId="10" xfId="0" applyNumberFormat="1" applyFont="1" applyBorder="1" applyAlignment="1">
      <alignment horizontal="left"/>
    </xf>
    <xf numFmtId="0" fontId="19" fillId="0" borderId="11" xfId="0" applyFont="1" applyBorder="1" applyAlignment="1">
      <alignment horizontal="left"/>
    </xf>
    <xf numFmtId="0" fontId="21" fillId="0" borderId="0" xfId="0" applyFont="1"/>
    <xf numFmtId="0" fontId="21" fillId="0" borderId="0" xfId="0" applyFont="1" applyAlignment="1">
      <alignment horizontal="center"/>
    </xf>
    <xf numFmtId="0" fontId="22" fillId="33" borderId="0" xfId="0" applyFont="1" applyFill="1"/>
    <xf numFmtId="0" fontId="23" fillId="33" borderId="0" xfId="0" applyFont="1" applyFill="1" applyAlignment="1">
      <alignment horizontal="center"/>
    </xf>
    <xf numFmtId="0" fontId="23" fillId="33" borderId="0" xfId="0" applyFont="1" applyFill="1"/>
    <xf numFmtId="0" fontId="24" fillId="0" borderId="0" xfId="0" applyFont="1"/>
    <xf numFmtId="0" fontId="24" fillId="0" borderId="0" xfId="0" applyFont="1" applyAlignment="1">
      <alignment horizontal="center"/>
    </xf>
    <xf numFmtId="0" fontId="23" fillId="0" borderId="0" xfId="0" applyFont="1" applyAlignment="1">
      <alignment horizontal="left"/>
    </xf>
    <xf numFmtId="0" fontId="23" fillId="0" borderId="0" xfId="0" applyFont="1" applyAlignment="1">
      <alignment horizontal="center"/>
    </xf>
    <xf numFmtId="0" fontId="23" fillId="0" borderId="0" xfId="0" applyFont="1"/>
    <xf numFmtId="0" fontId="25" fillId="0" borderId="0" xfId="0" applyFont="1" applyAlignment="1">
      <alignment horizontal="left"/>
    </xf>
    <xf numFmtId="0" fontId="26" fillId="0" borderId="0" xfId="0" applyFont="1"/>
    <xf numFmtId="16" fontId="23" fillId="0" borderId="0" xfId="0" applyNumberFormat="1" applyFont="1" applyAlignment="1">
      <alignment horizontal="left"/>
    </xf>
    <xf numFmtId="0" fontId="21" fillId="0" borderId="0" xfId="0" quotePrefix="1" applyFont="1" applyAlignment="1">
      <alignment horizontal="left"/>
    </xf>
    <xf numFmtId="14" fontId="0" fillId="0" borderId="0" xfId="0" applyNumberFormat="1" applyAlignment="1">
      <alignment vertical="center"/>
    </xf>
    <xf numFmtId="0" fontId="18" fillId="0" borderId="0" xfId="0" applyFont="1" applyFill="1" applyAlignment="1">
      <alignment horizontal="left"/>
    </xf>
    <xf numFmtId="0" fontId="18" fillId="0" borderId="10" xfId="0" applyFont="1" applyFill="1" applyBorder="1" applyAlignment="1">
      <alignment horizontal="left"/>
    </xf>
    <xf numFmtId="0" fontId="16" fillId="0" borderId="0" xfId="0" applyFont="1" applyFill="1"/>
    <xf numFmtId="16" fontId="18" fillId="0" borderId="10" xfId="0" applyNumberFormat="1" applyFont="1" applyFill="1" applyBorder="1" applyAlignment="1">
      <alignment horizontal="left"/>
    </xf>
    <xf numFmtId="0" fontId="18" fillId="0" borderId="11" xfId="0" applyFont="1" applyFill="1" applyBorder="1" applyAlignment="1">
      <alignment horizontal="left"/>
    </xf>
    <xf numFmtId="0" fontId="20" fillId="0" borderId="0" xfId="0" applyFont="1" applyFill="1" applyAlignment="1">
      <alignment horizontal="left"/>
    </xf>
    <xf numFmtId="0" fontId="19" fillId="0" borderId="0" xfId="0" applyFont="1" applyFill="1" applyAlignment="1">
      <alignment horizontal="left"/>
    </xf>
    <xf numFmtId="0" fontId="19" fillId="0" borderId="10" xfId="0" applyFont="1" applyFill="1" applyBorder="1" applyAlignment="1">
      <alignment horizontal="left"/>
    </xf>
    <xf numFmtId="0" fontId="0" fillId="0" borderId="0" xfId="0" applyFill="1"/>
    <xf numFmtId="16" fontId="19" fillId="0" borderId="10" xfId="0" applyNumberFormat="1" applyFont="1" applyFill="1" applyBorder="1" applyAlignment="1">
      <alignment horizontal="left"/>
    </xf>
    <xf numFmtId="0" fontId="19" fillId="0" borderId="11" xfId="0" applyFont="1" applyFill="1" applyBorder="1" applyAlignment="1">
      <alignment horizontal="left"/>
    </xf>
    <xf numFmtId="16" fontId="19" fillId="0" borderId="12" xfId="0" applyNumberFormat="1" applyFont="1" applyFill="1" applyBorder="1" applyAlignment="1">
      <alignment horizontal="left"/>
    </xf>
    <xf numFmtId="0" fontId="29" fillId="0" borderId="0" xfId="0" applyFont="1" applyFill="1"/>
    <xf numFmtId="1" fontId="19" fillId="0" borderId="0" xfId="0" applyNumberFormat="1" applyFont="1" applyFill="1" applyAlignment="1">
      <alignment horizontal="left"/>
    </xf>
    <xf numFmtId="0" fontId="30" fillId="0" borderId="0" xfId="0" applyFont="1" applyFill="1"/>
    <xf numFmtId="0" fontId="28" fillId="0" borderId="0" xfId="0" applyFont="1" applyFill="1"/>
    <xf numFmtId="0" fontId="19" fillId="0" borderId="0" xfId="0" quotePrefix="1" applyFont="1" applyFill="1" applyAlignment="1">
      <alignment horizontal="left"/>
    </xf>
    <xf numFmtId="0" fontId="19" fillId="0" borderId="0" xfId="0" applyFont="1" applyFill="1" applyAlignment="1">
      <alignment horizontal="left" wrapText="1"/>
    </xf>
    <xf numFmtId="0" fontId="31" fillId="0" borderId="0" xfId="0" applyFont="1" applyFill="1"/>
    <xf numFmtId="16" fontId="31" fillId="0" borderId="10" xfId="0" applyNumberFormat="1" applyFont="1" applyFill="1" applyBorder="1" applyAlignment="1">
      <alignment horizontal="left"/>
    </xf>
    <xf numFmtId="1" fontId="32" fillId="0" borderId="0" xfId="0" applyNumberFormat="1"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color rgb="FFFFF1C9"/>
      <color rgb="FFFFE0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7</xdr:col>
      <xdr:colOff>390690</xdr:colOff>
      <xdr:row>64</xdr:row>
      <xdr:rowOff>5991</xdr:rowOff>
    </xdr:to>
    <xdr:pic>
      <xdr:nvPicPr>
        <xdr:cNvPr id="2" name="Picture 1">
          <a:extLst>
            <a:ext uri="{FF2B5EF4-FFF2-40B4-BE49-F238E27FC236}">
              <a16:creationId xmlns:a16="http://schemas.microsoft.com/office/drawing/2014/main" id="{622C8705-44F6-958D-F763-0D3127CE67A5}"/>
            </a:ext>
          </a:extLst>
        </xdr:cNvPr>
        <xdr:cNvPicPr>
          <a:picLocks noChangeAspect="1"/>
        </xdr:cNvPicPr>
      </xdr:nvPicPr>
      <xdr:blipFill>
        <a:blip xmlns:r="http://schemas.openxmlformats.org/officeDocument/2006/relationships" r:embed="rId1"/>
        <a:stretch>
          <a:fillRect/>
        </a:stretch>
      </xdr:blipFill>
      <xdr:spPr>
        <a:xfrm>
          <a:off x="0" y="9525000"/>
          <a:ext cx="10936226" cy="3924848"/>
        </a:xfrm>
        <a:prstGeom prst="rect">
          <a:avLst/>
        </a:prstGeom>
      </xdr:spPr>
    </xdr:pic>
    <xdr:clientData/>
  </xdr:twoCellAnchor>
  <xdr:twoCellAnchor editAs="oneCell">
    <xdr:from>
      <xdr:col>0</xdr:col>
      <xdr:colOff>0</xdr:colOff>
      <xdr:row>65</xdr:row>
      <xdr:rowOff>0</xdr:rowOff>
    </xdr:from>
    <xdr:to>
      <xdr:col>7</xdr:col>
      <xdr:colOff>266848</xdr:colOff>
      <xdr:row>80</xdr:row>
      <xdr:rowOff>56139</xdr:rowOff>
    </xdr:to>
    <xdr:pic>
      <xdr:nvPicPr>
        <xdr:cNvPr id="3" name="Picture 2">
          <a:extLst>
            <a:ext uri="{FF2B5EF4-FFF2-40B4-BE49-F238E27FC236}">
              <a16:creationId xmlns:a16="http://schemas.microsoft.com/office/drawing/2014/main" id="{D72CF707-A1B1-BF6F-304E-75B744AC57DB}"/>
            </a:ext>
          </a:extLst>
        </xdr:cNvPr>
        <xdr:cNvPicPr>
          <a:picLocks noChangeAspect="1"/>
        </xdr:cNvPicPr>
      </xdr:nvPicPr>
      <xdr:blipFill>
        <a:blip xmlns:r="http://schemas.openxmlformats.org/officeDocument/2006/relationships" r:embed="rId2"/>
        <a:stretch>
          <a:fillRect/>
        </a:stretch>
      </xdr:blipFill>
      <xdr:spPr>
        <a:xfrm>
          <a:off x="0" y="13607143"/>
          <a:ext cx="10812384" cy="25054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35"/>
  <sheetViews>
    <sheetView zoomScale="70" zoomScaleNormal="70" workbookViewId="0">
      <selection activeCell="B14" sqref="B14"/>
    </sheetView>
  </sheetViews>
  <sheetFormatPr defaultColWidth="9.140625" defaultRowHeight="12.75" x14ac:dyDescent="0.2"/>
  <cols>
    <col min="1" max="1" width="46" style="1" bestFit="1" customWidth="1"/>
    <col min="2" max="2" width="38.85546875" style="4" bestFit="1" customWidth="1"/>
    <col min="3" max="3" width="36.5703125" style="1" bestFit="1" customWidth="1"/>
    <col min="4" max="22" width="9.140625" style="1"/>
    <col min="23" max="24" width="9.140625" style="1" customWidth="1"/>
    <col min="25" max="16384" width="9.140625" style="1"/>
  </cols>
  <sheetData>
    <row r="2" spans="1:26" s="9" customFormat="1" x14ac:dyDescent="0.2">
      <c r="A2" s="22" t="s">
        <v>0</v>
      </c>
      <c r="B2" s="10"/>
    </row>
    <row r="4" spans="1:26" ht="20.25" x14ac:dyDescent="0.3">
      <c r="A4" s="11" t="s">
        <v>1</v>
      </c>
      <c r="B4" s="12"/>
      <c r="C4" s="13"/>
      <c r="D4" s="5"/>
      <c r="E4" s="5"/>
      <c r="F4" s="5"/>
      <c r="G4" s="5"/>
      <c r="H4" s="5"/>
      <c r="I4" s="5"/>
      <c r="J4" s="5"/>
      <c r="K4" s="5"/>
      <c r="L4" s="5"/>
      <c r="M4" s="5"/>
      <c r="N4" s="5"/>
      <c r="O4" s="5"/>
      <c r="P4" s="5"/>
      <c r="Q4" s="5"/>
      <c r="R4" s="5"/>
      <c r="S4" s="5"/>
      <c r="T4" s="5"/>
      <c r="U4" s="5"/>
      <c r="V4" s="5"/>
      <c r="W4" s="5"/>
      <c r="X4" s="5"/>
      <c r="Y4" s="5"/>
      <c r="Z4" s="5"/>
    </row>
    <row r="5" spans="1:26" ht="20.25" x14ac:dyDescent="0.3">
      <c r="A5" s="14" t="s">
        <v>2</v>
      </c>
      <c r="B5" s="15" t="s">
        <v>3</v>
      </c>
      <c r="C5" s="14" t="s">
        <v>4</v>
      </c>
    </row>
    <row r="6" spans="1:26" ht="20.25" x14ac:dyDescent="0.3">
      <c r="A6" s="16" t="s">
        <v>5</v>
      </c>
      <c r="B6" s="17" t="s">
        <v>6</v>
      </c>
      <c r="C6" s="18" t="s">
        <v>7</v>
      </c>
    </row>
    <row r="7" spans="1:26" ht="20.25" x14ac:dyDescent="0.3">
      <c r="A7" s="16" t="s">
        <v>8</v>
      </c>
      <c r="B7" s="17" t="s">
        <v>6</v>
      </c>
      <c r="C7" s="18" t="s">
        <v>9</v>
      </c>
    </row>
    <row r="8" spans="1:26" ht="20.25" x14ac:dyDescent="0.3">
      <c r="A8" s="16" t="s">
        <v>10</v>
      </c>
      <c r="B8" s="17" t="s">
        <v>6</v>
      </c>
      <c r="C8" s="18" t="s">
        <v>11</v>
      </c>
    </row>
    <row r="9" spans="1:26" ht="20.25" x14ac:dyDescent="0.3">
      <c r="A9" s="16" t="s">
        <v>12</v>
      </c>
      <c r="B9" s="17" t="s">
        <v>6</v>
      </c>
      <c r="C9" s="18" t="s">
        <v>13</v>
      </c>
    </row>
    <row r="10" spans="1:26" ht="20.25" x14ac:dyDescent="0.3">
      <c r="A10" s="16" t="s">
        <v>14</v>
      </c>
      <c r="B10" s="17" t="s">
        <v>6</v>
      </c>
      <c r="C10" s="18" t="s">
        <v>15</v>
      </c>
    </row>
    <row r="11" spans="1:26" ht="20.25" x14ac:dyDescent="0.3">
      <c r="A11" s="16" t="s">
        <v>16</v>
      </c>
      <c r="B11" s="17" t="s">
        <v>6</v>
      </c>
      <c r="C11" s="18" t="s">
        <v>17</v>
      </c>
    </row>
    <row r="12" spans="1:26" ht="20.25" x14ac:dyDescent="0.3">
      <c r="A12" s="16" t="s">
        <v>18</v>
      </c>
      <c r="B12" s="17" t="s">
        <v>19</v>
      </c>
      <c r="C12" s="18" t="s">
        <v>20</v>
      </c>
    </row>
    <row r="13" spans="1:26" ht="20.25" x14ac:dyDescent="0.3">
      <c r="A13" s="19" t="s">
        <v>21</v>
      </c>
      <c r="B13" s="19" t="s">
        <v>22</v>
      </c>
      <c r="C13" s="20" t="s">
        <v>23</v>
      </c>
    </row>
    <row r="14" spans="1:26" ht="20.25" x14ac:dyDescent="0.3">
      <c r="A14" s="16" t="s">
        <v>24</v>
      </c>
      <c r="B14" s="16" t="s">
        <v>25</v>
      </c>
      <c r="C14" s="18" t="s">
        <v>26</v>
      </c>
    </row>
    <row r="15" spans="1:26" ht="20.25" x14ac:dyDescent="0.3">
      <c r="A15" s="16" t="s">
        <v>27</v>
      </c>
      <c r="B15" s="17" t="s">
        <v>28</v>
      </c>
      <c r="C15" s="18" t="s">
        <v>29</v>
      </c>
    </row>
    <row r="16" spans="1:26" ht="20.25" x14ac:dyDescent="0.3">
      <c r="A16" s="21" t="s">
        <v>30</v>
      </c>
      <c r="B16" s="17" t="s">
        <v>31</v>
      </c>
      <c r="C16" s="18" t="s">
        <v>32</v>
      </c>
    </row>
    <row r="17" spans="1:3" ht="23.25" x14ac:dyDescent="0.3">
      <c r="A17" s="16" t="s">
        <v>33</v>
      </c>
      <c r="B17" s="17" t="s">
        <v>34</v>
      </c>
      <c r="C17" s="18" t="s">
        <v>35</v>
      </c>
    </row>
    <row r="18" spans="1:3" ht="20.25" x14ac:dyDescent="0.3">
      <c r="A18" s="16" t="s">
        <v>36</v>
      </c>
      <c r="B18" s="17" t="s">
        <v>37</v>
      </c>
      <c r="C18" s="18" t="s">
        <v>38</v>
      </c>
    </row>
    <row r="19" spans="1:3" ht="20.25" x14ac:dyDescent="0.3">
      <c r="A19" s="16" t="s">
        <v>39</v>
      </c>
      <c r="B19" s="17" t="s">
        <v>40</v>
      </c>
      <c r="C19" s="18" t="s">
        <v>41</v>
      </c>
    </row>
    <row r="20" spans="1:3" ht="20.25" x14ac:dyDescent="0.3">
      <c r="A20" s="16" t="s">
        <v>42</v>
      </c>
      <c r="B20" s="17" t="s">
        <v>43</v>
      </c>
      <c r="C20" s="18" t="s">
        <v>44</v>
      </c>
    </row>
    <row r="21" spans="1:3" ht="20.25" x14ac:dyDescent="0.3">
      <c r="A21" s="16" t="s">
        <v>45</v>
      </c>
      <c r="B21" s="17" t="s">
        <v>46</v>
      </c>
      <c r="C21" s="18" t="s">
        <v>47</v>
      </c>
    </row>
    <row r="22" spans="1:3" ht="20.25" x14ac:dyDescent="0.3">
      <c r="A22" s="16" t="s">
        <v>48</v>
      </c>
      <c r="B22" s="17" t="s">
        <v>49</v>
      </c>
      <c r="C22" s="18" t="s">
        <v>50</v>
      </c>
    </row>
    <row r="23" spans="1:3" ht="20.25" x14ac:dyDescent="0.3">
      <c r="A23" s="16" t="s">
        <v>51</v>
      </c>
      <c r="B23" s="17" t="s">
        <v>52</v>
      </c>
      <c r="C23" s="18" t="s">
        <v>53</v>
      </c>
    </row>
    <row r="24" spans="1:3" ht="20.25" x14ac:dyDescent="0.3">
      <c r="A24" s="16" t="s">
        <v>54</v>
      </c>
      <c r="B24" s="17" t="s">
        <v>55</v>
      </c>
      <c r="C24" s="18" t="s">
        <v>56</v>
      </c>
    </row>
    <row r="25" spans="1:3" ht="20.25" x14ac:dyDescent="0.3">
      <c r="A25" s="16" t="s">
        <v>57</v>
      </c>
      <c r="B25" s="17" t="s">
        <v>58</v>
      </c>
      <c r="C25" s="18" t="s">
        <v>59</v>
      </c>
    </row>
    <row r="26" spans="1:3" ht="20.25" x14ac:dyDescent="0.3">
      <c r="A26" s="16" t="s">
        <v>60</v>
      </c>
      <c r="B26" s="17" t="s">
        <v>58</v>
      </c>
      <c r="C26" s="18" t="s">
        <v>61</v>
      </c>
    </row>
    <row r="27" spans="1:3" ht="20.25" x14ac:dyDescent="0.3">
      <c r="A27" s="16" t="s">
        <v>62</v>
      </c>
      <c r="B27" s="17" t="s">
        <v>6</v>
      </c>
      <c r="C27" s="18" t="s">
        <v>63</v>
      </c>
    </row>
    <row r="28" spans="1:3" ht="20.25" x14ac:dyDescent="0.3">
      <c r="A28" s="16" t="s">
        <v>64</v>
      </c>
      <c r="B28" s="17" t="s">
        <v>65</v>
      </c>
      <c r="C28" s="18" t="s">
        <v>66</v>
      </c>
    </row>
    <row r="29" spans="1:3" ht="20.25" x14ac:dyDescent="0.3">
      <c r="A29" s="16" t="s">
        <v>67</v>
      </c>
      <c r="B29" s="17" t="s">
        <v>65</v>
      </c>
      <c r="C29" s="18" t="s">
        <v>68</v>
      </c>
    </row>
    <row r="30" spans="1:3" ht="20.25" x14ac:dyDescent="0.3">
      <c r="A30" s="16" t="s">
        <v>69</v>
      </c>
      <c r="B30" s="17" t="s">
        <v>65</v>
      </c>
      <c r="C30" s="18" t="s">
        <v>70</v>
      </c>
    </row>
    <row r="31" spans="1:3" ht="20.25" x14ac:dyDescent="0.3">
      <c r="A31" s="16" t="s">
        <v>71</v>
      </c>
      <c r="B31" s="17" t="s">
        <v>65</v>
      </c>
      <c r="C31" s="18" t="s">
        <v>72</v>
      </c>
    </row>
    <row r="32" spans="1:3" ht="20.25" x14ac:dyDescent="0.3">
      <c r="A32" s="16" t="s">
        <v>73</v>
      </c>
      <c r="B32" s="17" t="s">
        <v>65</v>
      </c>
      <c r="C32" s="18" t="s">
        <v>74</v>
      </c>
    </row>
    <row r="33" spans="1:3" ht="20.25" x14ac:dyDescent="0.3">
      <c r="A33" s="16" t="s">
        <v>75</v>
      </c>
      <c r="B33" s="17" t="s">
        <v>6</v>
      </c>
      <c r="C33" s="18" t="s">
        <v>76</v>
      </c>
    </row>
    <row r="34" spans="1:3" ht="20.25" x14ac:dyDescent="0.3">
      <c r="A34" s="16" t="s">
        <v>77</v>
      </c>
      <c r="B34" s="17" t="s">
        <v>78</v>
      </c>
      <c r="C34" s="18" t="s">
        <v>79</v>
      </c>
    </row>
    <row r="35" spans="1:3" ht="20.25" x14ac:dyDescent="0.3">
      <c r="A35" s="16" t="s">
        <v>80</v>
      </c>
      <c r="B35" s="17" t="s">
        <v>81</v>
      </c>
      <c r="C35" s="16" t="s">
        <v>82</v>
      </c>
    </row>
  </sheetData>
  <pageMargins left="0.7" right="0.7" top="0.75" bottom="0.75" header="0.3" footer="0.3"/>
  <pageSetup orientation="portrait" r:id="rId1"/>
  <headerFooter>
    <oddHeader>&amp;R&amp;"Calibri"&amp;12&amp;K000000 Unclassified - Non-Classifié&amp;1#_x000D_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56"/>
  <sheetViews>
    <sheetView tabSelected="1" zoomScaleNormal="100" workbookViewId="0">
      <pane xSplit="4" ySplit="1" topLeftCell="Y17" activePane="bottomRight" state="frozen"/>
      <selection pane="topRight" activeCell="E1" sqref="E1"/>
      <selection pane="bottomLeft" activeCell="A2" sqref="A2"/>
      <selection pane="bottomRight" activeCell="AE51" sqref="AE51"/>
    </sheetView>
  </sheetViews>
  <sheetFormatPr defaultColWidth="9.140625" defaultRowHeight="15" x14ac:dyDescent="0.25"/>
  <cols>
    <col min="1" max="2" width="22.140625" style="3" customWidth="1"/>
    <col min="3" max="4" width="25.42578125" style="3" customWidth="1"/>
    <col min="5" max="5" width="8.42578125" style="6" bestFit="1" customWidth="1"/>
    <col min="6" max="6" width="20.5703125" style="3" customWidth="1"/>
    <col min="7" max="7" width="8.140625" style="3" customWidth="1"/>
    <col min="8" max="8" width="16.5703125" style="3" customWidth="1"/>
    <col min="9" max="9" width="21" style="3" customWidth="1"/>
    <col min="10" max="10" width="17" bestFit="1" customWidth="1"/>
    <col min="11" max="11" width="16" style="7" customWidth="1"/>
    <col min="12" max="12" width="16.140625" style="3" customWidth="1"/>
    <col min="13" max="18" width="17" style="3" customWidth="1"/>
    <col min="19" max="19" width="16.42578125" style="8" customWidth="1"/>
    <col min="20" max="20" width="24.5703125" style="3" customWidth="1"/>
    <col min="21" max="21" width="19.42578125" style="3" customWidth="1"/>
    <col min="22" max="22" width="214.28515625" style="3" bestFit="1" customWidth="1"/>
    <col min="23" max="23" width="28.85546875" style="3" customWidth="1"/>
    <col min="24" max="24" width="30" style="3" bestFit="1" customWidth="1"/>
    <col min="25" max="25" width="28.85546875" style="3" customWidth="1"/>
    <col min="26" max="26" width="25" style="3" customWidth="1"/>
    <col min="27" max="27" width="25.140625" style="3" customWidth="1"/>
    <col min="28" max="30" width="19.42578125" style="3" customWidth="1"/>
    <col min="31" max="31" width="19.140625" style="6" bestFit="1" customWidth="1"/>
    <col min="32" max="32" width="9.140625" style="3"/>
    <col min="33" max="33" width="18" style="3" bestFit="1" customWidth="1"/>
    <col min="34" max="16384" width="9.140625" style="3"/>
  </cols>
  <sheetData>
    <row r="1" spans="1:33" s="2" customFormat="1" x14ac:dyDescent="0.25">
      <c r="A1" s="24" t="s">
        <v>5</v>
      </c>
      <c r="B1" s="24" t="s">
        <v>8</v>
      </c>
      <c r="C1" s="24" t="s">
        <v>10</v>
      </c>
      <c r="D1" s="24" t="s">
        <v>12</v>
      </c>
      <c r="E1" s="25" t="s">
        <v>16</v>
      </c>
      <c r="F1" s="24" t="s">
        <v>18</v>
      </c>
      <c r="G1" s="24" t="s">
        <v>21</v>
      </c>
      <c r="H1" s="24" t="s">
        <v>24</v>
      </c>
      <c r="I1" s="24" t="s">
        <v>27</v>
      </c>
      <c r="J1" s="26" t="s">
        <v>83</v>
      </c>
      <c r="K1" s="27" t="s">
        <v>30</v>
      </c>
      <c r="L1" s="24" t="s">
        <v>33</v>
      </c>
      <c r="M1" s="24" t="s">
        <v>39</v>
      </c>
      <c r="N1" s="24" t="s">
        <v>42</v>
      </c>
      <c r="O1" s="24" t="s">
        <v>45</v>
      </c>
      <c r="P1" s="24" t="s">
        <v>48</v>
      </c>
      <c r="Q1" s="24" t="s">
        <v>51</v>
      </c>
      <c r="R1" s="24" t="s">
        <v>84</v>
      </c>
      <c r="S1" s="28" t="s">
        <v>85</v>
      </c>
      <c r="T1" s="24" t="s">
        <v>57</v>
      </c>
      <c r="U1" s="24" t="s">
        <v>60</v>
      </c>
      <c r="V1" s="24" t="s">
        <v>62</v>
      </c>
      <c r="W1" s="29" t="s">
        <v>64</v>
      </c>
      <c r="X1" s="24" t="s">
        <v>86</v>
      </c>
      <c r="Y1" s="29" t="s">
        <v>69</v>
      </c>
      <c r="Z1" s="24" t="s">
        <v>71</v>
      </c>
      <c r="AA1" s="24" t="s">
        <v>73</v>
      </c>
      <c r="AB1" s="24" t="s">
        <v>75</v>
      </c>
      <c r="AC1" s="24" t="s">
        <v>87</v>
      </c>
      <c r="AD1" s="24" t="s">
        <v>88</v>
      </c>
      <c r="AE1" s="25" t="s">
        <v>89</v>
      </c>
      <c r="AF1" s="24" t="s">
        <v>90</v>
      </c>
      <c r="AG1" s="24" t="s">
        <v>91</v>
      </c>
    </row>
    <row r="2" spans="1:33" ht="13.5" customHeight="1" x14ac:dyDescent="0.25">
      <c r="A2" s="30" t="s">
        <v>92</v>
      </c>
      <c r="B2" s="30" t="s">
        <v>92</v>
      </c>
      <c r="C2" s="30" t="s">
        <v>93</v>
      </c>
      <c r="D2" s="30" t="s">
        <v>94</v>
      </c>
      <c r="E2" s="31">
        <v>2024</v>
      </c>
      <c r="F2" s="30" t="s">
        <v>95</v>
      </c>
      <c r="G2" s="30" t="s">
        <v>96</v>
      </c>
      <c r="H2" s="30" t="s">
        <v>97</v>
      </c>
      <c r="I2" s="30" t="s">
        <v>98</v>
      </c>
      <c r="J2" s="32">
        <v>1</v>
      </c>
      <c r="K2" s="33">
        <v>45876</v>
      </c>
      <c r="L2" s="30"/>
      <c r="M2" s="30" t="s">
        <v>99</v>
      </c>
      <c r="N2" s="30">
        <v>0</v>
      </c>
      <c r="O2" s="30" t="s">
        <v>100</v>
      </c>
      <c r="P2" s="30" t="s">
        <v>101</v>
      </c>
      <c r="Q2" s="30">
        <v>70</v>
      </c>
      <c r="R2" s="30" t="s">
        <v>102</v>
      </c>
      <c r="S2" s="34" t="s">
        <v>103</v>
      </c>
      <c r="T2" s="30">
        <v>2</v>
      </c>
      <c r="U2" s="30" t="s">
        <v>104</v>
      </c>
      <c r="V2" s="30" t="s">
        <v>105</v>
      </c>
      <c r="W2" s="30" t="s">
        <v>104</v>
      </c>
      <c r="X2" s="30"/>
      <c r="Y2" s="30" t="s">
        <v>104</v>
      </c>
      <c r="Z2" s="30">
        <v>1</v>
      </c>
      <c r="AA2" s="30" t="s">
        <v>104</v>
      </c>
      <c r="AB2" s="30" t="s">
        <v>106</v>
      </c>
      <c r="AC2" s="30"/>
      <c r="AD2" s="30" t="str">
        <f>VLOOKUP(D2,prelim_final_estimates!C2:O165,13, FALSE)</f>
        <v>(Peak Live + Cumulative Dead)*Expansion</v>
      </c>
      <c r="AE2" s="31">
        <f>VLOOKUP(D2,prelim_final_estimates!C2:H165, 6,FALSE )</f>
        <v>5</v>
      </c>
      <c r="AF2" s="30">
        <f>AE2*1.4</f>
        <v>7</v>
      </c>
      <c r="AG2" s="30" t="s">
        <v>96</v>
      </c>
    </row>
    <row r="3" spans="1:33" ht="12.75" customHeight="1" x14ac:dyDescent="0.25">
      <c r="A3" s="30" t="s">
        <v>92</v>
      </c>
      <c r="B3" s="30" t="s">
        <v>92</v>
      </c>
      <c r="C3" s="30" t="s">
        <v>93</v>
      </c>
      <c r="D3" s="30" t="s">
        <v>107</v>
      </c>
      <c r="E3" s="31">
        <v>2024</v>
      </c>
      <c r="F3" s="30" t="s">
        <v>95</v>
      </c>
      <c r="G3" s="30" t="s">
        <v>108</v>
      </c>
      <c r="H3" s="30" t="s">
        <v>97</v>
      </c>
      <c r="I3" s="30" t="s">
        <v>98</v>
      </c>
      <c r="J3" s="32">
        <v>1</v>
      </c>
      <c r="K3" s="33">
        <v>45876</v>
      </c>
      <c r="L3" s="30"/>
      <c r="M3" s="30" t="s">
        <v>99</v>
      </c>
      <c r="N3" s="30">
        <v>0</v>
      </c>
      <c r="O3" s="30" t="s">
        <v>98</v>
      </c>
      <c r="P3" s="30" t="s">
        <v>101</v>
      </c>
      <c r="Q3" s="30">
        <v>15</v>
      </c>
      <c r="R3" s="30"/>
      <c r="S3" s="34" t="s">
        <v>103</v>
      </c>
      <c r="T3" s="30">
        <v>1</v>
      </c>
      <c r="U3" s="30" t="s">
        <v>104</v>
      </c>
      <c r="V3" s="30" t="s">
        <v>109</v>
      </c>
      <c r="W3" s="30" t="s">
        <v>104</v>
      </c>
      <c r="X3" s="30"/>
      <c r="Y3" s="30" t="s">
        <v>104</v>
      </c>
      <c r="Z3" s="30">
        <v>0</v>
      </c>
      <c r="AA3" s="30" t="s">
        <v>104</v>
      </c>
      <c r="AB3" s="30" t="s">
        <v>110</v>
      </c>
      <c r="AC3" s="30"/>
      <c r="AD3" s="30" t="str">
        <f>VLOOKUP(D3,prelim_final_estimates!C3:O166,13, FALSE)</f>
        <v>(Peak Live + Cumulative Dead)*Expansion</v>
      </c>
      <c r="AE3" s="31">
        <f>VLOOKUP(D3,prelim_final_estimates!C3:H166, 6,FALSE )</f>
        <v>2</v>
      </c>
      <c r="AF3" s="30">
        <f>AE3*1.4</f>
        <v>2.8</v>
      </c>
      <c r="AG3" s="30" t="s">
        <v>111</v>
      </c>
    </row>
    <row r="4" spans="1:33" x14ac:dyDescent="0.25">
      <c r="A4" s="30" t="s">
        <v>92</v>
      </c>
      <c r="B4" s="30" t="s">
        <v>92</v>
      </c>
      <c r="C4" s="30" t="s">
        <v>93</v>
      </c>
      <c r="D4" s="30" t="s">
        <v>112</v>
      </c>
      <c r="E4" s="31">
        <v>2024</v>
      </c>
      <c r="F4" s="30" t="s">
        <v>95</v>
      </c>
      <c r="G4" s="30" t="s">
        <v>108</v>
      </c>
      <c r="H4" s="30" t="s">
        <v>113</v>
      </c>
      <c r="I4" s="30" t="s">
        <v>98</v>
      </c>
      <c r="J4" s="32">
        <v>10</v>
      </c>
      <c r="K4" s="33">
        <v>45885</v>
      </c>
      <c r="L4" s="30"/>
      <c r="M4" s="30" t="s">
        <v>114</v>
      </c>
      <c r="N4" s="30">
        <v>50</v>
      </c>
      <c r="O4" s="30" t="s">
        <v>98</v>
      </c>
      <c r="P4" s="30" t="s">
        <v>115</v>
      </c>
      <c r="Q4" s="30">
        <v>65</v>
      </c>
      <c r="R4" s="30" t="s">
        <v>116</v>
      </c>
      <c r="S4" s="34" t="s">
        <v>117</v>
      </c>
      <c r="T4" s="30">
        <v>13</v>
      </c>
      <c r="U4" s="30" t="s">
        <v>104</v>
      </c>
      <c r="V4" s="30" t="s">
        <v>118</v>
      </c>
      <c r="W4" s="30">
        <v>3</v>
      </c>
      <c r="X4" s="30">
        <v>8</v>
      </c>
      <c r="Y4" s="30" t="s">
        <v>104</v>
      </c>
      <c r="Z4" s="30" t="s">
        <v>104</v>
      </c>
      <c r="AA4" s="30" t="s">
        <v>104</v>
      </c>
      <c r="AB4" s="30" t="s">
        <v>119</v>
      </c>
      <c r="AC4" s="30"/>
      <c r="AD4" s="30" t="str">
        <f>VLOOKUP(D4,prelim_final_estimates!C4:O167,13, FALSE)</f>
        <v>(Peak Live + Cumulative Dead)*Expansion</v>
      </c>
      <c r="AE4" s="31">
        <f>VLOOKUP(D4,prelim_final_estimates!C4:H167, 6,FALSE )</f>
        <v>26</v>
      </c>
      <c r="AF4" s="30">
        <f t="shared" ref="AF4:AF48" si="0">AE4</f>
        <v>26</v>
      </c>
      <c r="AG4" s="30" t="s">
        <v>104</v>
      </c>
    </row>
    <row r="5" spans="1:33" x14ac:dyDescent="0.25">
      <c r="A5" s="30" t="s">
        <v>92</v>
      </c>
      <c r="B5" s="30" t="s">
        <v>92</v>
      </c>
      <c r="C5" s="30" t="s">
        <v>93</v>
      </c>
      <c r="D5" s="30" t="s">
        <v>120</v>
      </c>
      <c r="E5" s="31">
        <v>2024</v>
      </c>
      <c r="F5" s="30" t="s">
        <v>95</v>
      </c>
      <c r="G5" s="30" t="s">
        <v>108</v>
      </c>
      <c r="H5" s="30" t="s">
        <v>97</v>
      </c>
      <c r="I5" s="30" t="s">
        <v>98</v>
      </c>
      <c r="J5" s="32">
        <v>10</v>
      </c>
      <c r="K5" s="33">
        <v>45887</v>
      </c>
      <c r="L5" s="30"/>
      <c r="M5" s="30" t="s">
        <v>98</v>
      </c>
      <c r="N5" s="30">
        <v>100</v>
      </c>
      <c r="O5" s="30" t="s">
        <v>100</v>
      </c>
      <c r="P5" s="30" t="s">
        <v>101</v>
      </c>
      <c r="Q5" s="30">
        <v>80</v>
      </c>
      <c r="R5" s="30"/>
      <c r="S5" s="34" t="s">
        <v>117</v>
      </c>
      <c r="T5" s="30">
        <v>6</v>
      </c>
      <c r="U5" s="30" t="s">
        <v>104</v>
      </c>
      <c r="V5" s="30" t="s">
        <v>121</v>
      </c>
      <c r="W5" s="30">
        <v>0</v>
      </c>
      <c r="X5" s="30"/>
      <c r="Y5" s="30" t="s">
        <v>104</v>
      </c>
      <c r="Z5" s="30" t="s">
        <v>104</v>
      </c>
      <c r="AA5" s="30" t="s">
        <v>104</v>
      </c>
      <c r="AB5" s="30" t="s">
        <v>122</v>
      </c>
      <c r="AC5" s="30"/>
      <c r="AD5" s="30" t="str">
        <f>VLOOKUP(D5,prelim_final_estimates!C5:O168,13, FALSE)</f>
        <v>(Peak Live + Cumulative Dead)*Expansion</v>
      </c>
      <c r="AE5" s="31">
        <f>VLOOKUP(D5,prelim_final_estimates!C5:H168, 6,FALSE )</f>
        <v>10</v>
      </c>
      <c r="AF5" s="30">
        <f t="shared" si="0"/>
        <v>10</v>
      </c>
      <c r="AG5" s="30" t="s">
        <v>104</v>
      </c>
    </row>
    <row r="6" spans="1:33" x14ac:dyDescent="0.25">
      <c r="A6" s="30" t="s">
        <v>92</v>
      </c>
      <c r="B6" s="30" t="s">
        <v>92</v>
      </c>
      <c r="C6" s="30" t="s">
        <v>93</v>
      </c>
      <c r="D6" s="32" t="s">
        <v>123</v>
      </c>
      <c r="E6" s="31">
        <v>2024</v>
      </c>
      <c r="F6" s="30" t="s">
        <v>95</v>
      </c>
      <c r="G6" s="30" t="s">
        <v>108</v>
      </c>
      <c r="H6" s="30" t="s">
        <v>97</v>
      </c>
      <c r="I6" s="30" t="s">
        <v>98</v>
      </c>
      <c r="J6" s="32">
        <v>10</v>
      </c>
      <c r="K6" s="33">
        <v>45885</v>
      </c>
      <c r="L6" s="30"/>
      <c r="M6" s="30" t="s">
        <v>98</v>
      </c>
      <c r="N6" s="30">
        <v>50</v>
      </c>
      <c r="O6" s="30" t="s">
        <v>100</v>
      </c>
      <c r="P6" s="30" t="s">
        <v>101</v>
      </c>
      <c r="Q6" s="30">
        <v>75</v>
      </c>
      <c r="R6" s="30" t="s">
        <v>124</v>
      </c>
      <c r="S6" s="34" t="s">
        <v>117</v>
      </c>
      <c r="T6" s="30">
        <v>5</v>
      </c>
      <c r="U6" s="30" t="s">
        <v>104</v>
      </c>
      <c r="V6" s="30" t="s">
        <v>125</v>
      </c>
      <c r="W6" s="30">
        <v>2</v>
      </c>
      <c r="X6" s="30">
        <v>5</v>
      </c>
      <c r="Y6" s="30" t="s">
        <v>104</v>
      </c>
      <c r="Z6" s="30" t="s">
        <v>104</v>
      </c>
      <c r="AA6" s="30" t="s">
        <v>104</v>
      </c>
      <c r="AB6" s="30" t="s">
        <v>126</v>
      </c>
      <c r="AC6" s="30"/>
      <c r="AD6" s="30" t="str">
        <f>VLOOKUP(D6,prelim_final_estimates!C6:O169,13, FALSE)</f>
        <v>(Peak Live + Cumulative Dead)*Expansion</v>
      </c>
      <c r="AE6" s="31">
        <f>VLOOKUP(D6,prelim_final_estimates!C6:H169, 6,FALSE )</f>
        <v>12</v>
      </c>
      <c r="AF6" s="30">
        <f t="shared" si="0"/>
        <v>12</v>
      </c>
      <c r="AG6" s="30" t="s">
        <v>104</v>
      </c>
    </row>
    <row r="7" spans="1:33" x14ac:dyDescent="0.25">
      <c r="A7" s="30" t="s">
        <v>92</v>
      </c>
      <c r="B7" s="30" t="s">
        <v>92</v>
      </c>
      <c r="C7" s="30" t="s">
        <v>93</v>
      </c>
      <c r="D7" s="30" t="s">
        <v>127</v>
      </c>
      <c r="E7" s="31">
        <v>2024</v>
      </c>
      <c r="F7" s="30" t="s">
        <v>95</v>
      </c>
      <c r="G7" s="30" t="s">
        <v>128</v>
      </c>
      <c r="H7" s="30" t="s">
        <v>97</v>
      </c>
      <c r="I7" s="30" t="s">
        <v>98</v>
      </c>
      <c r="J7" s="32">
        <v>10</v>
      </c>
      <c r="K7" s="33">
        <v>45885</v>
      </c>
      <c r="L7" s="30"/>
      <c r="M7" s="30" t="s">
        <v>129</v>
      </c>
      <c r="N7" s="30">
        <v>100</v>
      </c>
      <c r="O7" s="30" t="s">
        <v>98</v>
      </c>
      <c r="P7" s="30" t="s">
        <v>101</v>
      </c>
      <c r="Q7" s="30">
        <v>65</v>
      </c>
      <c r="R7" s="30" t="s">
        <v>130</v>
      </c>
      <c r="S7" s="34" t="s">
        <v>117</v>
      </c>
      <c r="T7" s="30">
        <v>12</v>
      </c>
      <c r="U7" s="30" t="s">
        <v>104</v>
      </c>
      <c r="V7" s="30" t="s">
        <v>131</v>
      </c>
      <c r="W7" s="30">
        <v>0</v>
      </c>
      <c r="X7" s="30"/>
      <c r="Y7" s="30" t="s">
        <v>104</v>
      </c>
      <c r="Z7" s="30" t="s">
        <v>104</v>
      </c>
      <c r="AA7" s="30" t="s">
        <v>104</v>
      </c>
      <c r="AB7" s="30" t="s">
        <v>122</v>
      </c>
      <c r="AC7" s="30"/>
      <c r="AD7" s="30" t="str">
        <f>VLOOKUP(D7,prelim_final_estimates!C7:O170,13, FALSE)</f>
        <v>(Peak Live + Cumulative Dead)*Expansion</v>
      </c>
      <c r="AE7" s="31">
        <f>VLOOKUP(D7,prelim_final_estimates!C7:H170, 6,FALSE )</f>
        <v>20</v>
      </c>
      <c r="AF7" s="30">
        <f t="shared" si="0"/>
        <v>20</v>
      </c>
      <c r="AG7" s="30" t="s">
        <v>104</v>
      </c>
    </row>
    <row r="8" spans="1:33" x14ac:dyDescent="0.25">
      <c r="A8" s="30" t="s">
        <v>92</v>
      </c>
      <c r="B8" s="30" t="s">
        <v>92</v>
      </c>
      <c r="C8" s="30" t="s">
        <v>93</v>
      </c>
      <c r="D8" s="30" t="s">
        <v>132</v>
      </c>
      <c r="E8" s="31">
        <v>2024</v>
      </c>
      <c r="F8" s="30" t="s">
        <v>95</v>
      </c>
      <c r="G8" s="30" t="s">
        <v>128</v>
      </c>
      <c r="H8" s="30" t="s">
        <v>97</v>
      </c>
      <c r="I8" s="30" t="s">
        <v>98</v>
      </c>
      <c r="J8" s="32">
        <v>11</v>
      </c>
      <c r="K8" s="33">
        <v>45886</v>
      </c>
      <c r="L8" s="30"/>
      <c r="M8" s="30" t="s">
        <v>114</v>
      </c>
      <c r="N8" s="30">
        <v>0</v>
      </c>
      <c r="O8" s="30" t="s">
        <v>100</v>
      </c>
      <c r="P8" s="30" t="s">
        <v>101</v>
      </c>
      <c r="Q8" s="30">
        <v>75</v>
      </c>
      <c r="R8" s="30"/>
      <c r="S8" s="34" t="s">
        <v>117</v>
      </c>
      <c r="T8" s="30">
        <v>14</v>
      </c>
      <c r="U8" s="30" t="s">
        <v>104</v>
      </c>
      <c r="V8" s="30" t="s">
        <v>133</v>
      </c>
      <c r="W8" s="30">
        <v>2</v>
      </c>
      <c r="X8" s="30">
        <v>4</v>
      </c>
      <c r="Y8" s="30" t="s">
        <v>104</v>
      </c>
      <c r="Z8" s="30" t="s">
        <v>104</v>
      </c>
      <c r="AA8" s="30" t="s">
        <v>104</v>
      </c>
      <c r="AB8" s="30" t="s">
        <v>126</v>
      </c>
      <c r="AC8" s="30"/>
      <c r="AD8" s="30" t="str">
        <f>VLOOKUP(D8,prelim_final_estimates!C8:O171,13, FALSE)</f>
        <v>(Peak Live + Cumulative Dead)*Expansion</v>
      </c>
      <c r="AE8" s="31">
        <f>VLOOKUP(D8,prelim_final_estimates!C8:H171, 6,FALSE )</f>
        <v>27</v>
      </c>
      <c r="AF8" s="30">
        <f t="shared" si="0"/>
        <v>27</v>
      </c>
      <c r="AG8" s="30" t="s">
        <v>104</v>
      </c>
    </row>
    <row r="9" spans="1:33" x14ac:dyDescent="0.25">
      <c r="A9" s="30" t="s">
        <v>92</v>
      </c>
      <c r="B9" s="30" t="s">
        <v>92</v>
      </c>
      <c r="C9" s="30" t="s">
        <v>93</v>
      </c>
      <c r="D9" s="32" t="s">
        <v>134</v>
      </c>
      <c r="E9" s="31">
        <v>2024</v>
      </c>
      <c r="F9" s="30" t="s">
        <v>95</v>
      </c>
      <c r="G9" s="30" t="s">
        <v>128</v>
      </c>
      <c r="H9" s="30" t="s">
        <v>97</v>
      </c>
      <c r="I9" s="30" t="s">
        <v>98</v>
      </c>
      <c r="J9" s="32">
        <v>10</v>
      </c>
      <c r="K9" s="33">
        <v>45884</v>
      </c>
      <c r="L9" s="30"/>
      <c r="M9" s="30" t="s">
        <v>98</v>
      </c>
      <c r="N9" s="30">
        <v>75</v>
      </c>
      <c r="O9" s="30" t="s">
        <v>98</v>
      </c>
      <c r="P9" s="30" t="s">
        <v>135</v>
      </c>
      <c r="Q9" s="30">
        <v>60</v>
      </c>
      <c r="R9" s="30"/>
      <c r="S9" s="34" t="s">
        <v>117</v>
      </c>
      <c r="T9" s="30">
        <v>2</v>
      </c>
      <c r="U9" s="30" t="s">
        <v>104</v>
      </c>
      <c r="V9" s="30" t="s">
        <v>133</v>
      </c>
      <c r="W9" s="30">
        <v>0</v>
      </c>
      <c r="X9" s="30"/>
      <c r="Y9" s="30" t="s">
        <v>104</v>
      </c>
      <c r="Z9" s="30" t="s">
        <v>104</v>
      </c>
      <c r="AA9" s="30" t="s">
        <v>104</v>
      </c>
      <c r="AB9" s="30" t="s">
        <v>122</v>
      </c>
      <c r="AC9" s="30"/>
      <c r="AD9" s="30" t="str">
        <f>VLOOKUP(D9,prelim_final_estimates!C9:O172,13, FALSE)</f>
        <v>(Peak Live + Cumulative Dead)*Expansion</v>
      </c>
      <c r="AE9" s="31">
        <f>VLOOKUP(D9,prelim_final_estimates!C9:H172, 6,FALSE )</f>
        <v>3</v>
      </c>
      <c r="AF9" s="30">
        <f t="shared" si="0"/>
        <v>3</v>
      </c>
      <c r="AG9" s="30" t="s">
        <v>104</v>
      </c>
    </row>
    <row r="10" spans="1:33" x14ac:dyDescent="0.25">
      <c r="A10" s="30" t="s">
        <v>92</v>
      </c>
      <c r="B10" s="30" t="s">
        <v>92</v>
      </c>
      <c r="C10" s="30" t="s">
        <v>93</v>
      </c>
      <c r="D10" s="30" t="s">
        <v>136</v>
      </c>
      <c r="E10" s="31">
        <v>2024</v>
      </c>
      <c r="F10" s="30" t="s">
        <v>95</v>
      </c>
      <c r="G10" s="30" t="s">
        <v>108</v>
      </c>
      <c r="H10" s="30" t="s">
        <v>97</v>
      </c>
      <c r="I10" s="30" t="s">
        <v>98</v>
      </c>
      <c r="J10" s="32">
        <v>11</v>
      </c>
      <c r="K10" s="33">
        <v>45882</v>
      </c>
      <c r="L10" s="30"/>
      <c r="M10" s="30" t="s">
        <v>98</v>
      </c>
      <c r="N10" s="30">
        <v>100</v>
      </c>
      <c r="O10" s="30" t="s">
        <v>100</v>
      </c>
      <c r="P10" s="30" t="s">
        <v>101</v>
      </c>
      <c r="Q10" s="30">
        <v>80</v>
      </c>
      <c r="R10" s="30"/>
      <c r="S10" s="34" t="s">
        <v>117</v>
      </c>
      <c r="T10" s="30">
        <v>9</v>
      </c>
      <c r="U10" s="30" t="s">
        <v>104</v>
      </c>
      <c r="V10" s="30"/>
      <c r="W10" s="30">
        <v>2</v>
      </c>
      <c r="X10" s="30">
        <v>2</v>
      </c>
      <c r="Y10" s="30" t="s">
        <v>104</v>
      </c>
      <c r="Z10" s="30" t="s">
        <v>104</v>
      </c>
      <c r="AA10" s="30" t="s">
        <v>104</v>
      </c>
      <c r="AB10" s="30" t="s">
        <v>137</v>
      </c>
      <c r="AC10" s="30"/>
      <c r="AD10" s="30" t="str">
        <f>VLOOKUP(D10,prelim_final_estimates!C10:O173,13, FALSE)</f>
        <v>(Peak Live + Cumulative Dead)*Expansion</v>
      </c>
      <c r="AE10" s="31">
        <f>VLOOKUP(D10,prelim_final_estimates!C10:H173, 6,FALSE )</f>
        <v>18</v>
      </c>
      <c r="AF10" s="30">
        <f t="shared" si="0"/>
        <v>18</v>
      </c>
      <c r="AG10" s="30" t="s">
        <v>104</v>
      </c>
    </row>
    <row r="11" spans="1:33" x14ac:dyDescent="0.25">
      <c r="A11" s="30" t="s">
        <v>92</v>
      </c>
      <c r="B11" s="30" t="s">
        <v>92</v>
      </c>
      <c r="C11" s="30" t="s">
        <v>93</v>
      </c>
      <c r="D11" s="30" t="s">
        <v>138</v>
      </c>
      <c r="E11" s="31">
        <v>2024</v>
      </c>
      <c r="F11" s="30" t="s">
        <v>95</v>
      </c>
      <c r="G11" s="30" t="s">
        <v>128</v>
      </c>
      <c r="H11" s="30" t="s">
        <v>97</v>
      </c>
      <c r="I11" s="30" t="s">
        <v>98</v>
      </c>
      <c r="J11" s="32">
        <v>7</v>
      </c>
      <c r="K11" s="35">
        <v>45886</v>
      </c>
      <c r="L11" s="30"/>
      <c r="M11" s="30" t="s">
        <v>114</v>
      </c>
      <c r="N11" s="30">
        <v>25</v>
      </c>
      <c r="O11" s="30" t="s">
        <v>100</v>
      </c>
      <c r="P11" s="30" t="s">
        <v>101</v>
      </c>
      <c r="Q11" s="30">
        <v>65</v>
      </c>
      <c r="R11" s="30" t="s">
        <v>139</v>
      </c>
      <c r="S11" s="34" t="s">
        <v>117</v>
      </c>
      <c r="T11" s="30">
        <v>3</v>
      </c>
      <c r="U11" s="30" t="s">
        <v>104</v>
      </c>
      <c r="V11" s="30" t="s">
        <v>133</v>
      </c>
      <c r="W11" s="30">
        <v>0</v>
      </c>
      <c r="X11" s="30"/>
      <c r="Y11" s="30" t="s">
        <v>104</v>
      </c>
      <c r="Z11" s="30" t="s">
        <v>104</v>
      </c>
      <c r="AA11" s="30" t="s">
        <v>104</v>
      </c>
      <c r="AB11" s="30" t="s">
        <v>122</v>
      </c>
      <c r="AC11" s="30"/>
      <c r="AD11" s="30" t="str">
        <f>VLOOKUP(D11,prelim_final_estimates!C11:O174,13, FALSE)</f>
        <v>(Peak Live + Cumulative Dead)*Expansion</v>
      </c>
      <c r="AE11" s="31">
        <f>VLOOKUP(D11,prelim_final_estimates!C11:H174, 6,FALSE )</f>
        <v>5</v>
      </c>
      <c r="AF11" s="30">
        <f t="shared" si="0"/>
        <v>5</v>
      </c>
      <c r="AG11" s="30" t="s">
        <v>104</v>
      </c>
    </row>
    <row r="12" spans="1:33" x14ac:dyDescent="0.25">
      <c r="A12" s="30" t="s">
        <v>92</v>
      </c>
      <c r="B12" s="30" t="s">
        <v>92</v>
      </c>
      <c r="C12" s="30" t="s">
        <v>93</v>
      </c>
      <c r="D12" s="30" t="s">
        <v>140</v>
      </c>
      <c r="E12" s="31">
        <v>2024</v>
      </c>
      <c r="F12" s="30" t="s">
        <v>95</v>
      </c>
      <c r="G12" s="30" t="s">
        <v>108</v>
      </c>
      <c r="H12" s="30" t="s">
        <v>97</v>
      </c>
      <c r="I12" s="30" t="s">
        <v>98</v>
      </c>
      <c r="J12" s="32">
        <v>12</v>
      </c>
      <c r="K12" s="33">
        <v>45884</v>
      </c>
      <c r="L12" s="30"/>
      <c r="M12" s="30" t="s">
        <v>98</v>
      </c>
      <c r="N12" s="30">
        <v>100</v>
      </c>
      <c r="O12" s="30" t="s">
        <v>100</v>
      </c>
      <c r="P12" s="30" t="s">
        <v>101</v>
      </c>
      <c r="Q12" s="30">
        <v>70</v>
      </c>
      <c r="R12" s="30" t="s">
        <v>141</v>
      </c>
      <c r="S12" s="34" t="s">
        <v>117</v>
      </c>
      <c r="T12" s="30">
        <v>132</v>
      </c>
      <c r="U12" s="30" t="s">
        <v>104</v>
      </c>
      <c r="V12" s="30"/>
      <c r="W12" s="30">
        <v>6</v>
      </c>
      <c r="X12" s="30">
        <v>59</v>
      </c>
      <c r="Y12" s="30" t="s">
        <v>104</v>
      </c>
      <c r="Z12" s="30" t="s">
        <v>104</v>
      </c>
      <c r="AA12" s="30" t="s">
        <v>104</v>
      </c>
      <c r="AB12" s="30" t="s">
        <v>142</v>
      </c>
      <c r="AC12" s="30"/>
      <c r="AD12" s="30" t="str">
        <f>VLOOKUP(D12,prelim_final_estimates!C12:O175,13, FALSE)</f>
        <v>(Peak Live + Cumulative Dead)*Expansion</v>
      </c>
      <c r="AE12" s="31">
        <f>VLOOKUP(D12,prelim_final_estimates!C12:H175, 6,FALSE )</f>
        <v>228</v>
      </c>
      <c r="AF12" s="30">
        <f t="shared" si="0"/>
        <v>228</v>
      </c>
      <c r="AG12" s="30" t="s">
        <v>104</v>
      </c>
    </row>
    <row r="13" spans="1:33" ht="12.75" customHeight="1" x14ac:dyDescent="0.25">
      <c r="A13" s="30" t="s">
        <v>143</v>
      </c>
      <c r="B13" s="30" t="s">
        <v>144</v>
      </c>
      <c r="C13" s="30" t="s">
        <v>145</v>
      </c>
      <c r="D13" s="30" t="s">
        <v>146</v>
      </c>
      <c r="E13" s="31">
        <v>2024</v>
      </c>
      <c r="F13" s="36" t="s">
        <v>147</v>
      </c>
      <c r="G13" s="36" t="s">
        <v>98</v>
      </c>
      <c r="H13" s="36" t="s">
        <v>113</v>
      </c>
      <c r="I13" s="36" t="s">
        <v>148</v>
      </c>
      <c r="J13" s="32">
        <v>5</v>
      </c>
      <c r="K13" s="33">
        <v>45540</v>
      </c>
      <c r="L13" s="30"/>
      <c r="M13" s="30" t="s">
        <v>99</v>
      </c>
      <c r="N13" s="37">
        <v>0</v>
      </c>
      <c r="O13" s="30" t="s">
        <v>98</v>
      </c>
      <c r="P13" s="30" t="s">
        <v>115</v>
      </c>
      <c r="Q13" s="30">
        <v>50</v>
      </c>
      <c r="R13" s="30" t="s">
        <v>149</v>
      </c>
      <c r="S13" s="34" t="s">
        <v>117</v>
      </c>
      <c r="T13" s="30">
        <v>30</v>
      </c>
      <c r="U13" s="30" t="s">
        <v>104</v>
      </c>
      <c r="V13" s="30"/>
      <c r="W13" s="30">
        <v>1</v>
      </c>
      <c r="X13" s="30">
        <v>9</v>
      </c>
      <c r="Y13" s="30" t="s">
        <v>104</v>
      </c>
      <c r="Z13" s="30" t="s">
        <v>104</v>
      </c>
      <c r="AA13" s="30" t="s">
        <v>104</v>
      </c>
      <c r="AB13" s="38" t="s">
        <v>150</v>
      </c>
      <c r="AC13" s="38"/>
      <c r="AD13" s="30" t="str">
        <f>VLOOKUP(D13,prelim_final_estimates!C13:O176,13, FALSE)</f>
        <v>(Peak Live + Cumulative Dead)*Expansion</v>
      </c>
      <c r="AE13" s="31">
        <f>VLOOKUP(D13,prelim_final_estimates!C13:H176, 6,FALSE )</f>
        <v>56</v>
      </c>
      <c r="AF13" s="30">
        <f>AE13*1.3</f>
        <v>72.8</v>
      </c>
      <c r="AG13" s="30" t="s">
        <v>151</v>
      </c>
    </row>
    <row r="14" spans="1:33" x14ac:dyDescent="0.25">
      <c r="A14" s="30" t="s">
        <v>143</v>
      </c>
      <c r="B14" s="30" t="s">
        <v>144</v>
      </c>
      <c r="C14" s="30" t="s">
        <v>145</v>
      </c>
      <c r="D14" s="30" t="s">
        <v>152</v>
      </c>
      <c r="E14" s="31">
        <v>2024</v>
      </c>
      <c r="F14" s="36" t="s">
        <v>147</v>
      </c>
      <c r="G14" s="36" t="s">
        <v>98</v>
      </c>
      <c r="H14" s="36" t="s">
        <v>97</v>
      </c>
      <c r="I14" s="36" t="s">
        <v>98</v>
      </c>
      <c r="J14" s="32"/>
      <c r="K14" s="33">
        <v>45541</v>
      </c>
      <c r="L14" s="30"/>
      <c r="M14" s="30" t="s">
        <v>99</v>
      </c>
      <c r="N14" s="37">
        <v>0</v>
      </c>
      <c r="O14" s="30" t="s">
        <v>98</v>
      </c>
      <c r="P14" s="30" t="s">
        <v>115</v>
      </c>
      <c r="Q14" s="30">
        <v>70</v>
      </c>
      <c r="R14" s="30"/>
      <c r="S14" s="34" t="s">
        <v>117</v>
      </c>
      <c r="T14" s="30">
        <v>401</v>
      </c>
      <c r="U14" s="30" t="s">
        <v>104</v>
      </c>
      <c r="V14" s="30"/>
      <c r="W14" s="30">
        <v>6</v>
      </c>
      <c r="X14" s="30">
        <v>69</v>
      </c>
      <c r="Y14" s="30" t="s">
        <v>104</v>
      </c>
      <c r="Z14" s="30" t="s">
        <v>104</v>
      </c>
      <c r="AA14" s="30" t="s">
        <v>104</v>
      </c>
      <c r="AB14" s="30" t="s">
        <v>153</v>
      </c>
      <c r="AC14" s="30"/>
      <c r="AD14" s="30" t="str">
        <f>VLOOKUP(D14,prelim_final_estimates!C14:O177,13, FALSE)</f>
        <v>(Peak Live + Cumulative Dead)*Expansion</v>
      </c>
      <c r="AE14" s="31">
        <f>VLOOKUP(D14,prelim_final_estimates!C14:H177, 6,FALSE )</f>
        <v>734</v>
      </c>
      <c r="AF14" s="30">
        <f>AE14*1.3</f>
        <v>954.2</v>
      </c>
      <c r="AG14" s="30" t="s">
        <v>151</v>
      </c>
    </row>
    <row r="15" spans="1:33" x14ac:dyDescent="0.25">
      <c r="A15" s="32" t="s">
        <v>143</v>
      </c>
      <c r="B15" s="30" t="s">
        <v>144</v>
      </c>
      <c r="C15" s="32" t="s">
        <v>154</v>
      </c>
      <c r="D15" s="32" t="s">
        <v>155</v>
      </c>
      <c r="E15" s="31">
        <v>2024</v>
      </c>
      <c r="F15" s="30" t="s">
        <v>95</v>
      </c>
      <c r="G15" s="30" t="s">
        <v>98</v>
      </c>
      <c r="H15" s="36" t="s">
        <v>156</v>
      </c>
      <c r="I15" s="30" t="s">
        <v>148</v>
      </c>
      <c r="J15" s="32">
        <v>3</v>
      </c>
      <c r="K15" s="33">
        <v>45539</v>
      </c>
      <c r="L15" s="30"/>
      <c r="M15" s="30" t="s">
        <v>99</v>
      </c>
      <c r="N15" s="30">
        <v>0</v>
      </c>
      <c r="O15" s="30" t="s">
        <v>157</v>
      </c>
      <c r="P15" s="30" t="s">
        <v>158</v>
      </c>
      <c r="Q15" s="30"/>
      <c r="R15" s="30"/>
      <c r="S15" s="34" t="s">
        <v>117</v>
      </c>
      <c r="T15" s="30">
        <v>0</v>
      </c>
      <c r="U15" s="30" t="s">
        <v>104</v>
      </c>
      <c r="V15" s="30" t="s">
        <v>159</v>
      </c>
      <c r="W15" s="30">
        <v>1</v>
      </c>
      <c r="X15" s="30"/>
      <c r="Y15" s="30" t="s">
        <v>104</v>
      </c>
      <c r="Z15" s="30" t="s">
        <v>104</v>
      </c>
      <c r="AA15" s="30" t="s">
        <v>104</v>
      </c>
      <c r="AB15" s="30"/>
      <c r="AC15" s="30"/>
      <c r="AD15" s="30" t="str">
        <f>VLOOKUP(D15,prelim_final_estimates!C15:O178,13, FALSE)</f>
        <v>(Peak Live + Cumulative Dead)*Expansion</v>
      </c>
      <c r="AE15" s="31">
        <f>VLOOKUP(D15,prelim_final_estimates!C15:H178, 6,FALSE )</f>
        <v>2</v>
      </c>
      <c r="AF15" s="30">
        <f>AE15*1.2</f>
        <v>2.4</v>
      </c>
      <c r="AG15" s="30" t="s">
        <v>160</v>
      </c>
    </row>
    <row r="16" spans="1:33" x14ac:dyDescent="0.25">
      <c r="A16" s="32" t="s">
        <v>143</v>
      </c>
      <c r="B16" s="30" t="s">
        <v>144</v>
      </c>
      <c r="C16" s="32" t="s">
        <v>154</v>
      </c>
      <c r="D16" s="32" t="s">
        <v>161</v>
      </c>
      <c r="E16" s="31">
        <v>2024</v>
      </c>
      <c r="F16" s="36" t="s">
        <v>147</v>
      </c>
      <c r="G16" s="30" t="s">
        <v>108</v>
      </c>
      <c r="H16" s="30" t="s">
        <v>113</v>
      </c>
      <c r="I16" s="30" t="s">
        <v>98</v>
      </c>
      <c r="J16" s="32">
        <v>4</v>
      </c>
      <c r="K16" s="33">
        <v>45542</v>
      </c>
      <c r="L16" s="30"/>
      <c r="M16" s="30" t="s">
        <v>99</v>
      </c>
      <c r="N16" s="30">
        <v>0</v>
      </c>
      <c r="O16" s="30" t="s">
        <v>100</v>
      </c>
      <c r="P16" s="30" t="s">
        <v>101</v>
      </c>
      <c r="Q16" s="30">
        <v>60</v>
      </c>
      <c r="R16" s="30" t="s">
        <v>162</v>
      </c>
      <c r="S16" s="34" t="s">
        <v>117</v>
      </c>
      <c r="T16" s="30">
        <v>33</v>
      </c>
      <c r="U16" s="30" t="s">
        <v>104</v>
      </c>
      <c r="V16" s="30"/>
      <c r="W16" s="30">
        <v>1</v>
      </c>
      <c r="X16" s="30"/>
      <c r="Y16" s="30" t="s">
        <v>104</v>
      </c>
      <c r="Z16" s="30" t="s">
        <v>104</v>
      </c>
      <c r="AA16" s="30" t="s">
        <v>104</v>
      </c>
      <c r="AB16" s="30"/>
      <c r="AC16" s="30"/>
      <c r="AD16" s="30" t="str">
        <f>VLOOKUP(D16,prelim_final_estimates!C16:O179,13, FALSE)</f>
        <v>(Peak Live + Cumulative Dead)*Expansion</v>
      </c>
      <c r="AE16" s="31">
        <f>VLOOKUP(D16,prelim_final_estimates!C16:H179, 6,FALSE )</f>
        <v>61</v>
      </c>
      <c r="AF16" s="30">
        <f t="shared" si="0"/>
        <v>61</v>
      </c>
      <c r="AG16" s="30" t="s">
        <v>104</v>
      </c>
    </row>
    <row r="17" spans="1:33" x14ac:dyDescent="0.25">
      <c r="A17" s="32" t="s">
        <v>143</v>
      </c>
      <c r="B17" s="30" t="s">
        <v>144</v>
      </c>
      <c r="C17" s="32" t="s">
        <v>154</v>
      </c>
      <c r="D17" s="32" t="s">
        <v>163</v>
      </c>
      <c r="E17" s="31">
        <v>2024</v>
      </c>
      <c r="F17" s="30" t="s">
        <v>147</v>
      </c>
      <c r="G17" s="30" t="s">
        <v>108</v>
      </c>
      <c r="H17" s="30" t="s">
        <v>113</v>
      </c>
      <c r="I17" s="30" t="s">
        <v>98</v>
      </c>
      <c r="J17" s="32"/>
      <c r="K17" s="33">
        <v>45547</v>
      </c>
      <c r="L17" s="30"/>
      <c r="M17" s="30" t="s">
        <v>98</v>
      </c>
      <c r="N17" s="30">
        <v>100</v>
      </c>
      <c r="O17" s="30" t="s">
        <v>98</v>
      </c>
      <c r="P17" s="30" t="s">
        <v>115</v>
      </c>
      <c r="Q17" s="30">
        <v>55</v>
      </c>
      <c r="R17" s="30"/>
      <c r="S17" s="34" t="s">
        <v>117</v>
      </c>
      <c r="T17" s="30">
        <v>1</v>
      </c>
      <c r="U17" s="30" t="s">
        <v>104</v>
      </c>
      <c r="V17" s="30"/>
      <c r="W17" s="30">
        <v>0</v>
      </c>
      <c r="X17" s="30">
        <v>0</v>
      </c>
      <c r="Y17" s="30" t="s">
        <v>104</v>
      </c>
      <c r="Z17" s="30" t="s">
        <v>104</v>
      </c>
      <c r="AA17" s="30" t="s">
        <v>104</v>
      </c>
      <c r="AB17" s="30" t="s">
        <v>122</v>
      </c>
      <c r="AC17" s="30"/>
      <c r="AD17" s="30" t="str">
        <f>VLOOKUP(D17,prelim_final_estimates!C18:O181,13, FALSE)</f>
        <v>(Peak Live + Cumulative Dead)*Expansion</v>
      </c>
      <c r="AE17" s="31">
        <f>VLOOKUP(D17,prelim_final_estimates!C18:H181, 6,FALSE )</f>
        <v>2</v>
      </c>
      <c r="AF17" s="30">
        <f>AE17*1.2</f>
        <v>2.4</v>
      </c>
      <c r="AG17" s="30" t="s">
        <v>156</v>
      </c>
    </row>
    <row r="18" spans="1:33" x14ac:dyDescent="0.25">
      <c r="A18" s="30" t="s">
        <v>164</v>
      </c>
      <c r="B18" s="30" t="s">
        <v>144</v>
      </c>
      <c r="C18" s="30" t="s">
        <v>165</v>
      </c>
      <c r="D18" s="32" t="s">
        <v>166</v>
      </c>
      <c r="E18" s="31">
        <v>2024</v>
      </c>
      <c r="F18" s="39" t="s">
        <v>147</v>
      </c>
      <c r="G18" s="39" t="s">
        <v>96</v>
      </c>
      <c r="H18" s="30" t="s">
        <v>97</v>
      </c>
      <c r="I18" s="39" t="s">
        <v>148</v>
      </c>
      <c r="J18" s="32"/>
      <c r="K18" s="33">
        <v>45547</v>
      </c>
      <c r="L18" s="30"/>
      <c r="M18" s="30" t="s">
        <v>114</v>
      </c>
      <c r="N18" s="30">
        <v>100</v>
      </c>
      <c r="O18" s="30" t="s">
        <v>98</v>
      </c>
      <c r="P18" s="30" t="s">
        <v>135</v>
      </c>
      <c r="Q18" s="30">
        <v>60</v>
      </c>
      <c r="R18" s="30"/>
      <c r="S18" s="34" t="s">
        <v>103</v>
      </c>
      <c r="T18" s="30">
        <v>3434</v>
      </c>
      <c r="U18" s="30" t="s">
        <v>104</v>
      </c>
      <c r="V18" s="30" t="s">
        <v>167</v>
      </c>
      <c r="W18" s="30">
        <v>724</v>
      </c>
      <c r="X18" s="30"/>
      <c r="Y18" s="30" t="s">
        <v>104</v>
      </c>
      <c r="Z18" s="30">
        <v>477</v>
      </c>
      <c r="AA18" s="30" t="s">
        <v>104</v>
      </c>
      <c r="AB18" s="30" t="s">
        <v>168</v>
      </c>
      <c r="AC18" s="30"/>
      <c r="AD18" s="30" t="str">
        <f>VLOOKUP(D18,prelim_final_estimates!C15:O178,13, FALSE)</f>
        <v>(Peak Live + Cumulative Dead)*Expansion</v>
      </c>
      <c r="AE18" s="31">
        <f>VLOOKUP(D18,prelim_final_estimates!C15:H178, 6,FALSE )</f>
        <v>7484</v>
      </c>
      <c r="AF18" s="30">
        <f>AE18*1.3</f>
        <v>9729.2000000000007</v>
      </c>
      <c r="AG18" s="30" t="s">
        <v>169</v>
      </c>
    </row>
    <row r="19" spans="1:33" x14ac:dyDescent="0.25">
      <c r="A19" s="30" t="s">
        <v>164</v>
      </c>
      <c r="B19" s="30" t="s">
        <v>144</v>
      </c>
      <c r="C19" s="30" t="s">
        <v>170</v>
      </c>
      <c r="D19" s="30" t="s">
        <v>171</v>
      </c>
      <c r="E19" s="31">
        <v>2024</v>
      </c>
      <c r="F19" s="30" t="s">
        <v>95</v>
      </c>
      <c r="G19" s="30" t="s">
        <v>98</v>
      </c>
      <c r="H19" s="30" t="s">
        <v>97</v>
      </c>
      <c r="I19" s="30" t="s">
        <v>98</v>
      </c>
      <c r="J19" s="32"/>
      <c r="K19" s="33">
        <v>45537</v>
      </c>
      <c r="L19" s="30"/>
      <c r="M19" s="30" t="s">
        <v>114</v>
      </c>
      <c r="N19" s="37">
        <v>25</v>
      </c>
      <c r="O19" s="30" t="s">
        <v>100</v>
      </c>
      <c r="P19" s="30" t="s">
        <v>115</v>
      </c>
      <c r="Q19" s="30">
        <v>60</v>
      </c>
      <c r="R19" s="30"/>
      <c r="S19" s="34" t="s">
        <v>117</v>
      </c>
      <c r="T19" s="30">
        <v>827</v>
      </c>
      <c r="U19" s="30" t="s">
        <v>104</v>
      </c>
      <c r="V19" s="30" t="s">
        <v>172</v>
      </c>
      <c r="W19" s="30">
        <v>22</v>
      </c>
      <c r="X19" s="30"/>
      <c r="Y19" s="30" t="s">
        <v>104</v>
      </c>
      <c r="Z19" s="30" t="s">
        <v>104</v>
      </c>
      <c r="AA19" s="30" t="s">
        <v>104</v>
      </c>
      <c r="AB19" s="30" t="s">
        <v>173</v>
      </c>
      <c r="AC19" s="30"/>
      <c r="AD19" s="30" t="str">
        <f>VLOOKUP(D19,prelim_final_estimates!C16:O179,13, FALSE)</f>
        <v>(Peak Live + Cumulative Dead)*Expansion</v>
      </c>
      <c r="AE19" s="31">
        <f>VLOOKUP(D19,prelim_final_estimates!C16:H179, 6,FALSE )</f>
        <v>1528</v>
      </c>
      <c r="AF19" s="30">
        <f>AE19*1.2</f>
        <v>1833.6</v>
      </c>
      <c r="AG19" s="30" t="s">
        <v>156</v>
      </c>
    </row>
    <row r="20" spans="1:33" ht="12.75" customHeight="1" x14ac:dyDescent="0.25">
      <c r="A20" s="30" t="s">
        <v>164</v>
      </c>
      <c r="B20" s="30" t="s">
        <v>144</v>
      </c>
      <c r="C20" s="30" t="s">
        <v>165</v>
      </c>
      <c r="D20" s="30" t="s">
        <v>174</v>
      </c>
      <c r="E20" s="31">
        <v>2024</v>
      </c>
      <c r="F20" s="30" t="s">
        <v>147</v>
      </c>
      <c r="G20" s="30" t="s">
        <v>108</v>
      </c>
      <c r="H20" s="30" t="s">
        <v>113</v>
      </c>
      <c r="I20" s="30" t="s">
        <v>98</v>
      </c>
      <c r="J20" s="32"/>
      <c r="K20" s="33">
        <v>45540</v>
      </c>
      <c r="L20" s="30"/>
      <c r="M20" s="30" t="s">
        <v>99</v>
      </c>
      <c r="N20" s="30">
        <v>0</v>
      </c>
      <c r="O20" s="30" t="s">
        <v>98</v>
      </c>
      <c r="P20" s="30" t="s">
        <v>175</v>
      </c>
      <c r="Q20" s="30">
        <v>70</v>
      </c>
      <c r="R20" s="30"/>
      <c r="S20" s="34" t="s">
        <v>117</v>
      </c>
      <c r="T20" s="30">
        <v>2105</v>
      </c>
      <c r="U20" s="30" t="s">
        <v>104</v>
      </c>
      <c r="V20" s="30" t="s">
        <v>176</v>
      </c>
      <c r="W20" s="30" t="s">
        <v>104</v>
      </c>
      <c r="X20" s="30"/>
      <c r="Y20" s="30" t="s">
        <v>104</v>
      </c>
      <c r="Z20" s="30">
        <v>75</v>
      </c>
      <c r="AA20" s="30" t="s">
        <v>104</v>
      </c>
      <c r="AB20" s="30"/>
      <c r="AC20" s="30"/>
      <c r="AD20" s="30" t="str">
        <f>VLOOKUP(D20,prelim_final_estimates!C17:O180,13, FALSE)</f>
        <v>(Peak Live + Cumulative Dead)*Expansion</v>
      </c>
      <c r="AE20" s="31">
        <f>VLOOKUP(D20,prelim_final_estimates!C17:H180, 6,FALSE )</f>
        <v>3924</v>
      </c>
      <c r="AF20" s="30">
        <f>AE20*1.02</f>
        <v>4002.48</v>
      </c>
      <c r="AG20" s="30" t="s">
        <v>177</v>
      </c>
    </row>
    <row r="21" spans="1:33" x14ac:dyDescent="0.25">
      <c r="A21" s="30" t="s">
        <v>164</v>
      </c>
      <c r="B21" s="30" t="s">
        <v>144</v>
      </c>
      <c r="C21" s="30" t="s">
        <v>165</v>
      </c>
      <c r="D21" s="30" t="s">
        <v>178</v>
      </c>
      <c r="E21" s="31">
        <v>2024</v>
      </c>
      <c r="F21" s="30" t="s">
        <v>147</v>
      </c>
      <c r="G21" s="30" t="s">
        <v>108</v>
      </c>
      <c r="H21" s="30" t="s">
        <v>97</v>
      </c>
      <c r="I21" s="30" t="s">
        <v>98</v>
      </c>
      <c r="J21" s="32">
        <v>4</v>
      </c>
      <c r="K21" s="33">
        <v>45547</v>
      </c>
      <c r="L21" s="30"/>
      <c r="M21" s="30" t="s">
        <v>114</v>
      </c>
      <c r="N21" s="30">
        <v>75</v>
      </c>
      <c r="O21" s="30" t="s">
        <v>100</v>
      </c>
      <c r="P21" s="30" t="s">
        <v>101</v>
      </c>
      <c r="Q21" s="30">
        <v>80</v>
      </c>
      <c r="R21" s="30"/>
      <c r="S21" s="34" t="s">
        <v>117</v>
      </c>
      <c r="T21" s="30">
        <v>6</v>
      </c>
      <c r="U21" s="30" t="s">
        <v>104</v>
      </c>
      <c r="V21" s="30" t="s">
        <v>179</v>
      </c>
      <c r="W21" s="30">
        <v>13</v>
      </c>
      <c r="X21" s="30">
        <v>23</v>
      </c>
      <c r="Y21" s="30" t="s">
        <v>104</v>
      </c>
      <c r="Z21" s="30" t="s">
        <v>104</v>
      </c>
      <c r="AA21" s="30" t="s">
        <v>104</v>
      </c>
      <c r="AB21" s="30"/>
      <c r="AC21" s="30"/>
      <c r="AD21" s="30" t="str">
        <f>VLOOKUP(D21,prelim_final_estimates!C18:O181,13, FALSE)</f>
        <v>(Peak Live + Cumulative Dead)*Expansion</v>
      </c>
      <c r="AE21" s="31">
        <f>VLOOKUP(D21,prelim_final_estimates!C18:H181, 6,FALSE )</f>
        <v>34</v>
      </c>
      <c r="AF21" s="30">
        <f t="shared" si="0"/>
        <v>34</v>
      </c>
      <c r="AG21" s="30" t="s">
        <v>104</v>
      </c>
    </row>
    <row r="22" spans="1:33" x14ac:dyDescent="0.25">
      <c r="A22" s="30" t="s">
        <v>164</v>
      </c>
      <c r="B22" s="30" t="s">
        <v>144</v>
      </c>
      <c r="C22" s="30" t="s">
        <v>165</v>
      </c>
      <c r="D22" s="30" t="s">
        <v>180</v>
      </c>
      <c r="E22" s="31">
        <v>2024</v>
      </c>
      <c r="F22" s="30" t="s">
        <v>147</v>
      </c>
      <c r="G22" s="30" t="s">
        <v>108</v>
      </c>
      <c r="H22" s="30" t="s">
        <v>97</v>
      </c>
      <c r="I22" s="30" t="s">
        <v>98</v>
      </c>
      <c r="J22" s="32">
        <v>3</v>
      </c>
      <c r="K22" s="33">
        <v>45541</v>
      </c>
      <c r="L22" s="30"/>
      <c r="M22" s="30" t="s">
        <v>99</v>
      </c>
      <c r="N22" s="30">
        <v>0</v>
      </c>
      <c r="O22" s="30" t="s">
        <v>100</v>
      </c>
      <c r="P22" s="30" t="s">
        <v>101</v>
      </c>
      <c r="Q22" s="30">
        <v>95</v>
      </c>
      <c r="R22" s="30"/>
      <c r="S22" s="34" t="s">
        <v>117</v>
      </c>
      <c r="T22" s="30">
        <v>45</v>
      </c>
      <c r="U22" s="30" t="s">
        <v>104</v>
      </c>
      <c r="V22" s="30" t="s">
        <v>181</v>
      </c>
      <c r="W22" s="30">
        <v>6</v>
      </c>
      <c r="X22" s="30"/>
      <c r="Y22" s="30" t="s">
        <v>104</v>
      </c>
      <c r="Z22" s="30" t="s">
        <v>104</v>
      </c>
      <c r="AA22" s="30" t="s">
        <v>104</v>
      </c>
      <c r="AB22" s="30"/>
      <c r="AC22" s="30"/>
      <c r="AD22" s="30" t="str">
        <f>VLOOKUP(D22,prelim_final_estimates!C19:O182,13, FALSE)</f>
        <v>(Peak Live + Cumulative Dead)*Expansion</v>
      </c>
      <c r="AE22" s="31">
        <f>VLOOKUP(D22,prelim_final_estimates!C19:H182, 6,FALSE )</f>
        <v>92</v>
      </c>
      <c r="AF22" s="30">
        <f t="shared" si="0"/>
        <v>92</v>
      </c>
      <c r="AG22" s="30" t="s">
        <v>104</v>
      </c>
    </row>
    <row r="23" spans="1:33" x14ac:dyDescent="0.25">
      <c r="A23" s="30" t="s">
        <v>164</v>
      </c>
      <c r="B23" s="30" t="s">
        <v>144</v>
      </c>
      <c r="C23" s="30" t="s">
        <v>165</v>
      </c>
      <c r="D23" s="30" t="s">
        <v>182</v>
      </c>
      <c r="E23" s="31">
        <v>2024</v>
      </c>
      <c r="F23" s="30" t="s">
        <v>147</v>
      </c>
      <c r="G23" s="30" t="s">
        <v>108</v>
      </c>
      <c r="H23" s="30" t="s">
        <v>97</v>
      </c>
      <c r="I23" s="30" t="s">
        <v>98</v>
      </c>
      <c r="J23" s="32">
        <v>2</v>
      </c>
      <c r="K23" s="33">
        <v>45548</v>
      </c>
      <c r="L23" s="30"/>
      <c r="M23" s="30" t="s">
        <v>98</v>
      </c>
      <c r="N23" s="30">
        <v>100</v>
      </c>
      <c r="O23" s="30" t="s">
        <v>100</v>
      </c>
      <c r="P23" s="30" t="s">
        <v>101</v>
      </c>
      <c r="Q23" s="30">
        <v>80</v>
      </c>
      <c r="R23" s="30"/>
      <c r="S23" s="34" t="s">
        <v>117</v>
      </c>
      <c r="T23" s="30">
        <v>5</v>
      </c>
      <c r="U23" s="30" t="s">
        <v>104</v>
      </c>
      <c r="V23" s="30" t="s">
        <v>183</v>
      </c>
      <c r="W23" s="30">
        <v>3</v>
      </c>
      <c r="X23" s="30"/>
      <c r="Y23" s="30" t="s">
        <v>104</v>
      </c>
      <c r="Z23" s="30" t="s">
        <v>104</v>
      </c>
      <c r="AA23" s="30" t="s">
        <v>104</v>
      </c>
      <c r="AB23" s="30"/>
      <c r="AC23" s="30"/>
      <c r="AD23" s="30" t="str">
        <f>VLOOKUP(D23,prelim_final_estimates!C20:O183,13, FALSE)</f>
        <v>(Peak Live + Cumulative Dead)*Expansion</v>
      </c>
      <c r="AE23" s="31">
        <f>VLOOKUP(D23,prelim_final_estimates!C20:H183, 6,FALSE )</f>
        <v>14</v>
      </c>
      <c r="AF23" s="30">
        <f t="shared" si="0"/>
        <v>14</v>
      </c>
      <c r="AG23" s="30" t="s">
        <v>104</v>
      </c>
    </row>
    <row r="24" spans="1:33" x14ac:dyDescent="0.25">
      <c r="A24" s="30" t="s">
        <v>164</v>
      </c>
      <c r="B24" s="30" t="s">
        <v>144</v>
      </c>
      <c r="C24" s="30" t="s">
        <v>165</v>
      </c>
      <c r="D24" s="30" t="s">
        <v>184</v>
      </c>
      <c r="E24" s="31">
        <v>2024</v>
      </c>
      <c r="F24" s="30" t="s">
        <v>147</v>
      </c>
      <c r="G24" s="30" t="s">
        <v>108</v>
      </c>
      <c r="H24" s="30" t="s">
        <v>113</v>
      </c>
      <c r="I24" s="30" t="s">
        <v>98</v>
      </c>
      <c r="J24" s="32">
        <v>4</v>
      </c>
      <c r="K24" s="33">
        <v>45540</v>
      </c>
      <c r="L24" s="30"/>
      <c r="M24" s="30" t="s">
        <v>99</v>
      </c>
      <c r="N24" s="30">
        <v>0</v>
      </c>
      <c r="O24" s="30" t="s">
        <v>98</v>
      </c>
      <c r="P24" s="30" t="s">
        <v>135</v>
      </c>
      <c r="Q24" s="30">
        <v>70</v>
      </c>
      <c r="R24" s="30"/>
      <c r="S24" s="34" t="s">
        <v>117</v>
      </c>
      <c r="T24" s="30">
        <v>1711</v>
      </c>
      <c r="U24" s="30" t="s">
        <v>104</v>
      </c>
      <c r="V24" s="30" t="s">
        <v>185</v>
      </c>
      <c r="W24" s="30">
        <v>47</v>
      </c>
      <c r="X24" s="30">
        <v>537</v>
      </c>
      <c r="Y24" s="30" t="s">
        <v>104</v>
      </c>
      <c r="Z24" s="30" t="s">
        <v>104</v>
      </c>
      <c r="AA24" s="30" t="s">
        <v>104</v>
      </c>
      <c r="AB24" s="30"/>
      <c r="AC24" s="30"/>
      <c r="AD24" s="30" t="str">
        <f>VLOOKUP(D24,prelim_final_estimates!C21:O184,13, FALSE)</f>
        <v>(Peak Live + Cumulative Dead)*Expansion</v>
      </c>
      <c r="AE24" s="31">
        <f>VLOOKUP(D24,prelim_final_estimates!C21:H184, 6,FALSE )</f>
        <v>3164</v>
      </c>
      <c r="AF24" s="30">
        <f t="shared" si="0"/>
        <v>3164</v>
      </c>
      <c r="AG24" s="30" t="s">
        <v>104</v>
      </c>
    </row>
    <row r="25" spans="1:33" x14ac:dyDescent="0.25">
      <c r="A25" s="30" t="s">
        <v>164</v>
      </c>
      <c r="B25" s="30" t="s">
        <v>144</v>
      </c>
      <c r="C25" s="30" t="s">
        <v>186</v>
      </c>
      <c r="D25" s="30" t="s">
        <v>187</v>
      </c>
      <c r="E25" s="31">
        <v>2024</v>
      </c>
      <c r="F25" s="30" t="s">
        <v>147</v>
      </c>
      <c r="G25" s="30" t="s">
        <v>108</v>
      </c>
      <c r="H25" s="30" t="s">
        <v>113</v>
      </c>
      <c r="I25" s="30" t="s">
        <v>98</v>
      </c>
      <c r="J25" s="32">
        <v>5</v>
      </c>
      <c r="K25" s="33">
        <v>45532</v>
      </c>
      <c r="L25" s="30"/>
      <c r="M25" s="30" t="s">
        <v>99</v>
      </c>
      <c r="N25" s="30">
        <v>0</v>
      </c>
      <c r="O25" s="30" t="s">
        <v>100</v>
      </c>
      <c r="P25" s="30" t="s">
        <v>115</v>
      </c>
      <c r="Q25" s="30">
        <v>69</v>
      </c>
      <c r="R25" s="30"/>
      <c r="S25" s="34" t="s">
        <v>117</v>
      </c>
      <c r="T25" s="30">
        <v>26</v>
      </c>
      <c r="U25" s="30" t="s">
        <v>104</v>
      </c>
      <c r="V25" s="30" t="s">
        <v>188</v>
      </c>
      <c r="W25" s="30">
        <v>5</v>
      </c>
      <c r="X25" s="30">
        <v>6</v>
      </c>
      <c r="Y25" s="30" t="s">
        <v>104</v>
      </c>
      <c r="Z25" s="30" t="s">
        <v>104</v>
      </c>
      <c r="AA25" s="30" t="s">
        <v>104</v>
      </c>
      <c r="AB25" s="30"/>
      <c r="AC25" s="30"/>
      <c r="AD25" s="30" t="str">
        <f>VLOOKUP(D25,prelim_final_estimates!C22:O185,13, FALSE)</f>
        <v>(Peak Live + Cumulative Dead)*Expansion</v>
      </c>
      <c r="AE25" s="31">
        <f>VLOOKUP(D25,prelim_final_estimates!C22:H185, 6,FALSE )</f>
        <v>56</v>
      </c>
      <c r="AF25" s="30">
        <f t="shared" si="0"/>
        <v>56</v>
      </c>
      <c r="AG25" s="30" t="s">
        <v>104</v>
      </c>
    </row>
    <row r="26" spans="1:33" x14ac:dyDescent="0.25">
      <c r="A26" s="30" t="s">
        <v>164</v>
      </c>
      <c r="B26" s="30" t="s">
        <v>144</v>
      </c>
      <c r="C26" s="30" t="s">
        <v>186</v>
      </c>
      <c r="D26" s="30" t="s">
        <v>189</v>
      </c>
      <c r="E26" s="31">
        <v>2024</v>
      </c>
      <c r="F26" s="30" t="s">
        <v>147</v>
      </c>
      <c r="G26" s="30" t="s">
        <v>108</v>
      </c>
      <c r="H26" s="30" t="s">
        <v>97</v>
      </c>
      <c r="I26" s="30" t="s">
        <v>98</v>
      </c>
      <c r="J26" s="32">
        <v>5</v>
      </c>
      <c r="K26" s="33">
        <v>45532</v>
      </c>
      <c r="L26" s="30"/>
      <c r="M26" s="30" t="s">
        <v>99</v>
      </c>
      <c r="N26" s="30">
        <v>0</v>
      </c>
      <c r="O26" s="30" t="s">
        <v>100</v>
      </c>
      <c r="P26" s="30" t="s">
        <v>101</v>
      </c>
      <c r="Q26" s="30">
        <v>80</v>
      </c>
      <c r="R26" s="30" t="s">
        <v>190</v>
      </c>
      <c r="S26" s="34" t="s">
        <v>117</v>
      </c>
      <c r="T26" s="30">
        <v>3</v>
      </c>
      <c r="U26" s="30" t="s">
        <v>104</v>
      </c>
      <c r="V26" s="30" t="s">
        <v>191</v>
      </c>
      <c r="W26" s="30">
        <v>1</v>
      </c>
      <c r="X26" s="30">
        <v>2</v>
      </c>
      <c r="Y26" s="30" t="s">
        <v>104</v>
      </c>
      <c r="Z26" s="30" t="s">
        <v>104</v>
      </c>
      <c r="AA26" s="30" t="s">
        <v>104</v>
      </c>
      <c r="AB26" s="30"/>
      <c r="AC26" s="30"/>
      <c r="AD26" s="30" t="str">
        <f>VLOOKUP(D26,prelim_final_estimates!C23:O186,13, FALSE)</f>
        <v>(Peak Live + Cumulative Dead)*Expansion</v>
      </c>
      <c r="AE26" s="31">
        <f>VLOOKUP(D26,prelim_final_estimates!C23:H186, 6,FALSE )</f>
        <v>7</v>
      </c>
      <c r="AF26" s="30">
        <f t="shared" si="0"/>
        <v>7</v>
      </c>
      <c r="AG26" s="30" t="s">
        <v>104</v>
      </c>
    </row>
    <row r="27" spans="1:33" x14ac:dyDescent="0.25">
      <c r="A27" s="32" t="s">
        <v>192</v>
      </c>
      <c r="B27" s="30" t="s">
        <v>144</v>
      </c>
      <c r="C27" s="32" t="s">
        <v>193</v>
      </c>
      <c r="D27" s="32" t="s">
        <v>194</v>
      </c>
      <c r="E27" s="31">
        <v>2024</v>
      </c>
      <c r="F27" s="30" t="s">
        <v>95</v>
      </c>
      <c r="G27" s="30" t="s">
        <v>128</v>
      </c>
      <c r="H27" s="30" t="s">
        <v>156</v>
      </c>
      <c r="I27" s="30" t="s">
        <v>98</v>
      </c>
      <c r="J27" s="32">
        <v>5</v>
      </c>
      <c r="K27" s="33">
        <v>45535</v>
      </c>
      <c r="L27" s="30"/>
      <c r="M27" s="30" t="s">
        <v>99</v>
      </c>
      <c r="N27" s="30">
        <v>0</v>
      </c>
      <c r="O27" s="30" t="s">
        <v>157</v>
      </c>
      <c r="P27" s="30" t="s">
        <v>135</v>
      </c>
      <c r="Q27" s="30">
        <v>57</v>
      </c>
      <c r="R27" s="30"/>
      <c r="S27" s="34" t="s">
        <v>117</v>
      </c>
      <c r="T27" s="30">
        <v>2525</v>
      </c>
      <c r="U27" s="30" t="s">
        <v>104</v>
      </c>
      <c r="V27" s="40" t="s">
        <v>195</v>
      </c>
      <c r="W27" s="30">
        <v>108</v>
      </c>
      <c r="X27" s="30">
        <v>1348</v>
      </c>
      <c r="Y27" s="30" t="s">
        <v>104</v>
      </c>
      <c r="Z27" s="30" t="s">
        <v>104</v>
      </c>
      <c r="AA27" s="30" t="s">
        <v>104</v>
      </c>
      <c r="AB27" s="30"/>
      <c r="AC27" s="30"/>
      <c r="AD27" s="30" t="str">
        <f>VLOOKUP(D27,prelim_final_estimates!C24:O187,13, FALSE)</f>
        <v>(Peak Live + Cumulative Dead)*Expansion</v>
      </c>
      <c r="AE27" s="31">
        <f>VLOOKUP(D27,prelim_final_estimates!C24:H187, 6,FALSE )</f>
        <v>5481</v>
      </c>
      <c r="AF27" s="30">
        <f>AE27*1.2</f>
        <v>6577.2</v>
      </c>
      <c r="AG27" s="30" t="s">
        <v>156</v>
      </c>
    </row>
    <row r="28" spans="1:33" x14ac:dyDescent="0.25">
      <c r="A28" s="32" t="s">
        <v>192</v>
      </c>
      <c r="B28" s="30" t="s">
        <v>144</v>
      </c>
      <c r="C28" s="32" t="s">
        <v>193</v>
      </c>
      <c r="D28" s="32" t="s">
        <v>196</v>
      </c>
      <c r="E28" s="31">
        <v>2024</v>
      </c>
      <c r="F28" s="30" t="s">
        <v>147</v>
      </c>
      <c r="G28" s="30" t="s">
        <v>128</v>
      </c>
      <c r="H28" s="30" t="s">
        <v>156</v>
      </c>
      <c r="I28" s="30" t="s">
        <v>98</v>
      </c>
      <c r="J28" s="32">
        <v>5</v>
      </c>
      <c r="K28" s="33">
        <v>45536</v>
      </c>
      <c r="L28" s="30"/>
      <c r="M28" s="30" t="s">
        <v>99</v>
      </c>
      <c r="N28" s="30">
        <v>0</v>
      </c>
      <c r="O28" s="30" t="s">
        <v>100</v>
      </c>
      <c r="P28" s="30" t="s">
        <v>101</v>
      </c>
      <c r="Q28" s="30">
        <v>70</v>
      </c>
      <c r="R28" s="30"/>
      <c r="S28" s="34" t="s">
        <v>117</v>
      </c>
      <c r="T28" s="30">
        <v>84</v>
      </c>
      <c r="U28" s="30" t="s">
        <v>104</v>
      </c>
      <c r="V28" s="30" t="s">
        <v>197</v>
      </c>
      <c r="W28" s="30">
        <v>0</v>
      </c>
      <c r="X28" s="30">
        <v>10</v>
      </c>
      <c r="Y28" s="30" t="s">
        <v>104</v>
      </c>
      <c r="Z28" s="30" t="s">
        <v>104</v>
      </c>
      <c r="AA28" s="30" t="s">
        <v>104</v>
      </c>
      <c r="AB28" s="30"/>
      <c r="AC28" s="30"/>
      <c r="AD28" s="30" t="str">
        <f>VLOOKUP(D28,prelim_final_estimates!C25:O188,13, FALSE)</f>
        <v>(Peak Live + Cumulative Dead)*Expansion</v>
      </c>
      <c r="AE28" s="31">
        <f>VLOOKUP(D28,prelim_final_estimates!C25:H188, 6,FALSE )</f>
        <v>151</v>
      </c>
      <c r="AF28" s="30">
        <f t="shared" ref="AF28:AF29" si="1">AE28*1.2</f>
        <v>181.2</v>
      </c>
      <c r="AG28" s="30" t="s">
        <v>156</v>
      </c>
    </row>
    <row r="29" spans="1:33" x14ac:dyDescent="0.25">
      <c r="A29" s="32" t="s">
        <v>192</v>
      </c>
      <c r="B29" s="30" t="s">
        <v>144</v>
      </c>
      <c r="C29" s="32" t="s">
        <v>193</v>
      </c>
      <c r="D29" s="32" t="s">
        <v>198</v>
      </c>
      <c r="E29" s="31">
        <v>2024</v>
      </c>
      <c r="F29" s="30" t="s">
        <v>147</v>
      </c>
      <c r="G29" s="30" t="s">
        <v>128</v>
      </c>
      <c r="H29" s="30" t="s">
        <v>156</v>
      </c>
      <c r="I29" s="30" t="s">
        <v>98</v>
      </c>
      <c r="J29" s="32">
        <v>4</v>
      </c>
      <c r="K29" s="33">
        <v>45535</v>
      </c>
      <c r="L29" s="30"/>
      <c r="M29" s="30" t="s">
        <v>99</v>
      </c>
      <c r="N29" s="30">
        <v>0</v>
      </c>
      <c r="O29" s="30" t="s">
        <v>100</v>
      </c>
      <c r="P29" s="30" t="s">
        <v>101</v>
      </c>
      <c r="Q29" s="30">
        <v>85</v>
      </c>
      <c r="R29" s="30"/>
      <c r="S29" s="34" t="s">
        <v>117</v>
      </c>
      <c r="T29" s="30">
        <v>3</v>
      </c>
      <c r="U29" s="30" t="s">
        <v>104</v>
      </c>
      <c r="V29" s="30"/>
      <c r="W29" s="30">
        <v>0</v>
      </c>
      <c r="X29" s="30">
        <v>0</v>
      </c>
      <c r="Y29" s="30" t="s">
        <v>104</v>
      </c>
      <c r="Z29" s="30" t="s">
        <v>104</v>
      </c>
      <c r="AA29" s="30" t="s">
        <v>104</v>
      </c>
      <c r="AB29" s="30" t="s">
        <v>122</v>
      </c>
      <c r="AC29" s="30"/>
      <c r="AD29" s="30" t="str">
        <f>VLOOKUP(D29,prelim_final_estimates!C26:O189,13, FALSE)</f>
        <v>(Peak Live + Cumulative Dead)*Expansion</v>
      </c>
      <c r="AE29" s="31">
        <f>VLOOKUP(D29,prelim_final_estimates!C26:H189, 6,FALSE )</f>
        <v>5</v>
      </c>
      <c r="AF29" s="30">
        <f t="shared" si="1"/>
        <v>6</v>
      </c>
      <c r="AG29" s="30" t="s">
        <v>156</v>
      </c>
    </row>
    <row r="30" spans="1:33" x14ac:dyDescent="0.25">
      <c r="A30" s="30" t="s">
        <v>199</v>
      </c>
      <c r="B30" s="30" t="s">
        <v>144</v>
      </c>
      <c r="C30" s="30" t="s">
        <v>200</v>
      </c>
      <c r="D30" s="32" t="s">
        <v>201</v>
      </c>
      <c r="E30" s="31">
        <v>2024</v>
      </c>
      <c r="F30" s="30" t="s">
        <v>95</v>
      </c>
      <c r="G30" s="30" t="s">
        <v>98</v>
      </c>
      <c r="H30" s="30" t="s">
        <v>113</v>
      </c>
      <c r="I30" s="30" t="s">
        <v>129</v>
      </c>
      <c r="J30" s="32"/>
      <c r="K30" s="33">
        <v>45919</v>
      </c>
      <c r="L30" s="30"/>
      <c r="M30" s="30" t="s">
        <v>98</v>
      </c>
      <c r="N30" s="30">
        <v>75</v>
      </c>
      <c r="O30" s="30" t="s">
        <v>100</v>
      </c>
      <c r="P30" s="30" t="s">
        <v>115</v>
      </c>
      <c r="Q30" s="30">
        <v>69.166666666599994</v>
      </c>
      <c r="R30" s="30"/>
      <c r="S30" s="34" t="s">
        <v>103</v>
      </c>
      <c r="T30" s="30">
        <v>37657.5</v>
      </c>
      <c r="U30" s="30">
        <v>580</v>
      </c>
      <c r="V30" s="41" t="s">
        <v>202</v>
      </c>
      <c r="W30" s="30">
        <v>1244</v>
      </c>
      <c r="X30" s="30"/>
      <c r="Y30" s="30" t="s">
        <v>104</v>
      </c>
      <c r="Z30" s="30">
        <v>958</v>
      </c>
      <c r="AA30" s="30">
        <v>5</v>
      </c>
      <c r="AB30" s="30" t="s">
        <v>203</v>
      </c>
      <c r="AC30" s="41"/>
      <c r="AD30" s="30" t="str">
        <f>VLOOKUP(D30,prelim_final_estimates!C27:O190,13, FALSE)</f>
        <v>DIDSON/ARIS counter</v>
      </c>
      <c r="AE30" s="31">
        <f>VLOOKUP(D30,prelim_final_estimates!C24:H187, 6,FALSE )</f>
        <v>89321</v>
      </c>
      <c r="AF30" s="30">
        <f t="shared" si="0"/>
        <v>89321</v>
      </c>
      <c r="AG30" s="30" t="s">
        <v>104</v>
      </c>
    </row>
    <row r="31" spans="1:33" x14ac:dyDescent="0.25">
      <c r="A31" s="30" t="s">
        <v>204</v>
      </c>
      <c r="B31" s="30" t="s">
        <v>144</v>
      </c>
      <c r="C31" s="36" t="s">
        <v>205</v>
      </c>
      <c r="D31" s="32" t="s">
        <v>206</v>
      </c>
      <c r="E31" s="31">
        <v>2024</v>
      </c>
      <c r="F31" s="36" t="s">
        <v>95</v>
      </c>
      <c r="G31" s="36" t="s">
        <v>128</v>
      </c>
      <c r="H31" s="36" t="s">
        <v>97</v>
      </c>
      <c r="I31" s="36" t="s">
        <v>98</v>
      </c>
      <c r="J31" s="32">
        <v>5</v>
      </c>
      <c r="K31" s="33">
        <v>45537</v>
      </c>
      <c r="L31" s="30"/>
      <c r="M31" s="30" t="s">
        <v>114</v>
      </c>
      <c r="N31" s="37">
        <v>100</v>
      </c>
      <c r="O31" s="30" t="s">
        <v>100</v>
      </c>
      <c r="P31" s="30" t="s">
        <v>101</v>
      </c>
      <c r="Q31" s="30">
        <v>65</v>
      </c>
      <c r="R31" s="30"/>
      <c r="S31" s="34" t="s">
        <v>117</v>
      </c>
      <c r="T31" s="30">
        <v>1001</v>
      </c>
      <c r="U31" s="30" t="s">
        <v>104</v>
      </c>
      <c r="V31" s="30"/>
      <c r="W31" s="30">
        <v>58</v>
      </c>
      <c r="X31" s="30">
        <v>328</v>
      </c>
      <c r="Y31" s="30" t="s">
        <v>104</v>
      </c>
      <c r="Z31" s="30" t="s">
        <v>104</v>
      </c>
      <c r="AA31" s="30" t="s">
        <v>104</v>
      </c>
      <c r="AB31" s="30" t="s">
        <v>207</v>
      </c>
      <c r="AC31" s="30"/>
      <c r="AD31" s="30" t="str">
        <f>VLOOKUP(D31,prelim_final_estimates!C28:O191,13, FALSE)</f>
        <v>(Peak Live + Cumulative Dead)*Expansion</v>
      </c>
      <c r="AE31" s="31">
        <f>VLOOKUP(D31,prelim_final_estimates!C25:H188, 6,FALSE )</f>
        <v>1906</v>
      </c>
      <c r="AF31" s="30">
        <f t="shared" si="0"/>
        <v>1906</v>
      </c>
      <c r="AG31" s="30" t="s">
        <v>104</v>
      </c>
    </row>
    <row r="32" spans="1:33" x14ac:dyDescent="0.25">
      <c r="A32" s="30" t="s">
        <v>208</v>
      </c>
      <c r="B32" s="30" t="s">
        <v>144</v>
      </c>
      <c r="C32" s="30" t="s">
        <v>209</v>
      </c>
      <c r="D32" s="32" t="s">
        <v>210</v>
      </c>
      <c r="E32" s="31">
        <v>2024</v>
      </c>
      <c r="F32" s="40" t="s">
        <v>95</v>
      </c>
      <c r="G32" s="30" t="s">
        <v>98</v>
      </c>
      <c r="H32" s="30" t="s">
        <v>97</v>
      </c>
      <c r="I32" s="30" t="s">
        <v>98</v>
      </c>
      <c r="J32" s="32">
        <v>2</v>
      </c>
      <c r="K32" s="33">
        <v>45544</v>
      </c>
      <c r="L32" s="30"/>
      <c r="M32" s="30" t="s">
        <v>99</v>
      </c>
      <c r="N32" s="30">
        <v>0</v>
      </c>
      <c r="O32" s="30" t="s">
        <v>100</v>
      </c>
      <c r="P32" s="30" t="s">
        <v>101</v>
      </c>
      <c r="Q32" s="30">
        <v>70</v>
      </c>
      <c r="R32" s="30"/>
      <c r="S32" s="34" t="s">
        <v>103</v>
      </c>
      <c r="T32" s="30">
        <v>215</v>
      </c>
      <c r="U32" s="30" t="s">
        <v>104</v>
      </c>
      <c r="V32" s="30" t="s">
        <v>211</v>
      </c>
      <c r="W32" s="30" t="s">
        <v>104</v>
      </c>
      <c r="X32" s="30"/>
      <c r="Y32" s="30" t="s">
        <v>104</v>
      </c>
      <c r="Z32" s="30">
        <v>5</v>
      </c>
      <c r="AA32" s="30" t="s">
        <v>104</v>
      </c>
      <c r="AB32" s="30" t="s">
        <v>212</v>
      </c>
      <c r="AC32" s="30"/>
      <c r="AD32" s="30" t="str">
        <f>VLOOKUP(D32,prelim_final_estimates!C29:O192,13, FALSE)</f>
        <v>(Peak Live + Cumulative Dead)*Expansion</v>
      </c>
      <c r="AE32" s="31">
        <f>VLOOKUP(D32,prelim_final_estimates!C26:H189, 6,FALSE )</f>
        <v>616</v>
      </c>
      <c r="AF32" s="30">
        <f t="shared" si="0"/>
        <v>616</v>
      </c>
      <c r="AG32" s="30" t="s">
        <v>104</v>
      </c>
    </row>
    <row r="33" spans="1:33" x14ac:dyDescent="0.25">
      <c r="A33" s="30" t="s">
        <v>213</v>
      </c>
      <c r="B33" s="30" t="s">
        <v>214</v>
      </c>
      <c r="C33" s="30" t="s">
        <v>215</v>
      </c>
      <c r="D33" s="30" t="s">
        <v>216</v>
      </c>
      <c r="E33" s="31">
        <v>2024</v>
      </c>
      <c r="F33" s="30" t="s">
        <v>95</v>
      </c>
      <c r="G33" s="30" t="s">
        <v>108</v>
      </c>
      <c r="H33" s="30" t="s">
        <v>97</v>
      </c>
      <c r="I33" s="30" t="s">
        <v>98</v>
      </c>
      <c r="J33" s="32">
        <v>7</v>
      </c>
      <c r="K33" s="33">
        <v>45555</v>
      </c>
      <c r="L33" s="30"/>
      <c r="M33" s="30" t="s">
        <v>99</v>
      </c>
      <c r="N33" s="30">
        <v>50</v>
      </c>
      <c r="O33" s="30" t="s">
        <v>100</v>
      </c>
      <c r="P33" s="30" t="s">
        <v>101</v>
      </c>
      <c r="Q33" s="30">
        <v>76</v>
      </c>
      <c r="R33" s="30"/>
      <c r="S33" s="34" t="s">
        <v>117</v>
      </c>
      <c r="T33" s="30">
        <v>49</v>
      </c>
      <c r="U33" s="30" t="s">
        <v>104</v>
      </c>
      <c r="V33" s="30" t="s">
        <v>217</v>
      </c>
      <c r="W33" s="30">
        <v>0</v>
      </c>
      <c r="X33" s="30"/>
      <c r="Y33" s="30" t="s">
        <v>104</v>
      </c>
      <c r="Z33" s="30" t="s">
        <v>104</v>
      </c>
      <c r="AA33" s="30" t="s">
        <v>104</v>
      </c>
      <c r="AB33" s="30" t="s">
        <v>122</v>
      </c>
      <c r="AC33" s="30"/>
      <c r="AD33" s="30" t="str">
        <f>VLOOKUP(D33,prelim_final_estimates!C34:O197,13, FALSE)</f>
        <v>(Peak Live + Cumulative Dead)*Expansion</v>
      </c>
      <c r="AE33" s="31">
        <f>VLOOKUP(D33,prelim_final_estimates!C31:H194, 6,FALSE )</f>
        <v>88</v>
      </c>
      <c r="AF33" s="30">
        <f t="shared" si="0"/>
        <v>88</v>
      </c>
      <c r="AG33" s="30" t="s">
        <v>104</v>
      </c>
    </row>
    <row r="34" spans="1:33" x14ac:dyDescent="0.25">
      <c r="A34" s="30" t="s">
        <v>213</v>
      </c>
      <c r="B34" s="30" t="s">
        <v>214</v>
      </c>
      <c r="C34" s="30" t="s">
        <v>215</v>
      </c>
      <c r="D34" s="30" t="s">
        <v>218</v>
      </c>
      <c r="E34" s="31">
        <v>2024</v>
      </c>
      <c r="F34" s="30" t="s">
        <v>95</v>
      </c>
      <c r="G34" s="30" t="s">
        <v>98</v>
      </c>
      <c r="H34" s="30" t="s">
        <v>97</v>
      </c>
      <c r="I34" s="30" t="s">
        <v>98</v>
      </c>
      <c r="J34" s="32">
        <v>9</v>
      </c>
      <c r="K34" s="33">
        <v>45553</v>
      </c>
      <c r="L34" s="30"/>
      <c r="M34" s="30" t="s">
        <v>98</v>
      </c>
      <c r="N34" s="30">
        <v>75</v>
      </c>
      <c r="O34" s="30" t="s">
        <v>100</v>
      </c>
      <c r="P34" s="30" t="s">
        <v>115</v>
      </c>
      <c r="Q34" s="30">
        <v>80</v>
      </c>
      <c r="R34" s="30"/>
      <c r="S34" s="34" t="s">
        <v>117</v>
      </c>
      <c r="T34" s="30">
        <v>1614</v>
      </c>
      <c r="U34" s="30" t="s">
        <v>104</v>
      </c>
      <c r="V34" s="30" t="s">
        <v>219</v>
      </c>
      <c r="W34" s="30">
        <v>22</v>
      </c>
      <c r="X34" s="30"/>
      <c r="Y34" s="30" t="s">
        <v>104</v>
      </c>
      <c r="Z34" s="30">
        <v>3</v>
      </c>
      <c r="AA34" s="30" t="s">
        <v>104</v>
      </c>
      <c r="AB34" s="30" t="s">
        <v>220</v>
      </c>
      <c r="AC34" s="30"/>
      <c r="AD34" s="30" t="str">
        <f>VLOOKUP(D34,prelim_final_estimates!C35:O198,13, FALSE)</f>
        <v>(Peak Live + Cumulative Dead)*Expansion</v>
      </c>
      <c r="AE34" s="31">
        <f>VLOOKUP(D34,prelim_final_estimates!C32:H195, 6,FALSE )</f>
        <v>2950</v>
      </c>
      <c r="AF34" s="30">
        <f>AE34*1.3</f>
        <v>3835</v>
      </c>
      <c r="AG34" s="30" t="s">
        <v>221</v>
      </c>
    </row>
    <row r="35" spans="1:33" x14ac:dyDescent="0.25">
      <c r="A35" s="30" t="s">
        <v>213</v>
      </c>
      <c r="B35" s="30" t="s">
        <v>214</v>
      </c>
      <c r="C35" s="30" t="s">
        <v>215</v>
      </c>
      <c r="D35" s="30" t="s">
        <v>222</v>
      </c>
      <c r="E35" s="31">
        <v>2024</v>
      </c>
      <c r="F35" s="30" t="s">
        <v>147</v>
      </c>
      <c r="G35" s="30" t="s">
        <v>223</v>
      </c>
      <c r="H35" s="30" t="s">
        <v>113</v>
      </c>
      <c r="I35" s="30" t="s">
        <v>98</v>
      </c>
      <c r="J35" s="32">
        <v>10</v>
      </c>
      <c r="K35" s="33">
        <v>45560</v>
      </c>
      <c r="L35" s="30"/>
      <c r="M35" s="30" t="s">
        <v>114</v>
      </c>
      <c r="N35" s="30">
        <v>75</v>
      </c>
      <c r="O35" s="30" t="s">
        <v>100</v>
      </c>
      <c r="P35" s="30" t="s">
        <v>115</v>
      </c>
      <c r="Q35" s="30">
        <v>81.25</v>
      </c>
      <c r="R35" s="30"/>
      <c r="S35" s="34" t="s">
        <v>103</v>
      </c>
      <c r="T35" s="30">
        <v>8080</v>
      </c>
      <c r="U35" s="30" t="s">
        <v>104</v>
      </c>
      <c r="V35" s="30" t="s">
        <v>224</v>
      </c>
      <c r="W35" s="30">
        <v>50</v>
      </c>
      <c r="X35" s="30"/>
      <c r="Y35" s="30" t="s">
        <v>104</v>
      </c>
      <c r="Z35" s="30">
        <v>30</v>
      </c>
      <c r="AA35" s="30" t="s">
        <v>104</v>
      </c>
      <c r="AB35" s="30" t="s">
        <v>225</v>
      </c>
      <c r="AC35" s="30"/>
      <c r="AD35" s="30" t="str">
        <f>VLOOKUP(D35,prelim_final_estimates!C36:O199,13, FALSE)</f>
        <v>(Peak Live + Cumulative Dead)*Expansion</v>
      </c>
      <c r="AE35" s="31">
        <f>VLOOKUP(D35,prelim_final_estimates!C33:H196, 6,FALSE )</f>
        <v>14688</v>
      </c>
      <c r="AF35" s="30">
        <f>AE35*1.3</f>
        <v>19094.400000000001</v>
      </c>
      <c r="AG35" s="30" t="s">
        <v>226</v>
      </c>
    </row>
    <row r="36" spans="1:33" x14ac:dyDescent="0.25">
      <c r="A36" s="30" t="s">
        <v>213</v>
      </c>
      <c r="B36" s="30" t="s">
        <v>214</v>
      </c>
      <c r="C36" s="30" t="s">
        <v>215</v>
      </c>
      <c r="D36" s="30" t="s">
        <v>227</v>
      </c>
      <c r="E36" s="31">
        <v>2024</v>
      </c>
      <c r="F36" s="30" t="s">
        <v>95</v>
      </c>
      <c r="G36" s="30" t="s">
        <v>108</v>
      </c>
      <c r="H36" s="30" t="s">
        <v>97</v>
      </c>
      <c r="I36" s="30" t="s">
        <v>98</v>
      </c>
      <c r="J36" s="32">
        <v>10</v>
      </c>
      <c r="K36" s="33">
        <v>45560</v>
      </c>
      <c r="L36" s="30"/>
      <c r="M36" s="30" t="s">
        <v>98</v>
      </c>
      <c r="N36" s="30">
        <v>100</v>
      </c>
      <c r="O36" s="30" t="s">
        <v>98</v>
      </c>
      <c r="P36" s="30" t="s">
        <v>175</v>
      </c>
      <c r="Q36" s="30">
        <v>74.17</v>
      </c>
      <c r="R36" s="30"/>
      <c r="S36" s="34" t="s">
        <v>117</v>
      </c>
      <c r="T36" s="30">
        <v>359</v>
      </c>
      <c r="U36" s="30" t="s">
        <v>104</v>
      </c>
      <c r="V36" s="30" t="s">
        <v>228</v>
      </c>
      <c r="W36" s="30">
        <v>11</v>
      </c>
      <c r="X36" s="30">
        <v>36</v>
      </c>
      <c r="Y36" s="30" t="s">
        <v>104</v>
      </c>
      <c r="Z36" s="30" t="s">
        <v>104</v>
      </c>
      <c r="AA36" s="30" t="s">
        <v>104</v>
      </c>
      <c r="AB36" s="30" t="s">
        <v>229</v>
      </c>
      <c r="AC36" s="30"/>
      <c r="AD36" s="30" t="str">
        <f>VLOOKUP(D36,prelim_final_estimates!C37:O200,13, FALSE)</f>
        <v>(Peak Live + Cumulative Dead)*Expansion</v>
      </c>
      <c r="AE36" s="31">
        <f>VLOOKUP(D36,prelim_final_estimates!C34:H197, 6,FALSE )</f>
        <v>666</v>
      </c>
      <c r="AF36" s="30">
        <f t="shared" si="0"/>
        <v>666</v>
      </c>
      <c r="AG36" s="30" t="s">
        <v>104</v>
      </c>
    </row>
    <row r="37" spans="1:33" x14ac:dyDescent="0.25">
      <c r="A37" s="30" t="s">
        <v>213</v>
      </c>
      <c r="B37" s="30" t="s">
        <v>214</v>
      </c>
      <c r="C37" s="30" t="s">
        <v>215</v>
      </c>
      <c r="D37" s="30" t="s">
        <v>230</v>
      </c>
      <c r="E37" s="31">
        <v>2024</v>
      </c>
      <c r="F37" s="30" t="s">
        <v>147</v>
      </c>
      <c r="G37" s="30" t="s">
        <v>223</v>
      </c>
      <c r="H37" s="30" t="s">
        <v>113</v>
      </c>
      <c r="I37" s="30" t="s">
        <v>129</v>
      </c>
      <c r="J37" s="32">
        <v>10</v>
      </c>
      <c r="K37" s="33">
        <v>45560</v>
      </c>
      <c r="L37" s="30"/>
      <c r="M37" s="30" t="s">
        <v>98</v>
      </c>
      <c r="N37" s="30">
        <v>100</v>
      </c>
      <c r="O37" s="30" t="s">
        <v>98</v>
      </c>
      <c r="P37" s="30" t="s">
        <v>135</v>
      </c>
      <c r="Q37" s="30">
        <v>61.67</v>
      </c>
      <c r="R37" s="30"/>
      <c r="S37" s="34" t="s">
        <v>103</v>
      </c>
      <c r="T37" s="30">
        <v>15619</v>
      </c>
      <c r="U37" s="30" t="s">
        <v>104</v>
      </c>
      <c r="V37" s="30" t="s">
        <v>231</v>
      </c>
      <c r="W37" s="30">
        <v>13</v>
      </c>
      <c r="X37" s="30">
        <v>1278</v>
      </c>
      <c r="Y37" s="30" t="s">
        <v>104</v>
      </c>
      <c r="Z37" s="30">
        <v>3</v>
      </c>
      <c r="AA37" s="30" t="s">
        <v>104</v>
      </c>
      <c r="AB37" s="30" t="s">
        <v>232</v>
      </c>
      <c r="AC37" s="30"/>
      <c r="AD37" s="30" t="str">
        <f>VLOOKUP(D37,prelim_final_estimates!C38:O201,13, FALSE)</f>
        <v>(Peak Live + Cumulative Dead)*Expansion</v>
      </c>
      <c r="AE37" s="31">
        <f>VLOOKUP(D37,prelim_final_estimates!C35:H198, 6,FALSE )</f>
        <v>28143</v>
      </c>
      <c r="AF37" s="30">
        <f>AE37*1.4</f>
        <v>39400.199999999997</v>
      </c>
      <c r="AG37" s="30" t="s">
        <v>233</v>
      </c>
    </row>
    <row r="38" spans="1:33" x14ac:dyDescent="0.25">
      <c r="A38" s="30" t="s">
        <v>199</v>
      </c>
      <c r="B38" s="30" t="s">
        <v>214</v>
      </c>
      <c r="C38" s="30" t="s">
        <v>234</v>
      </c>
      <c r="D38" s="30" t="s">
        <v>235</v>
      </c>
      <c r="E38" s="31">
        <v>2024</v>
      </c>
      <c r="F38" s="30" t="s">
        <v>95</v>
      </c>
      <c r="G38" s="30" t="s">
        <v>98</v>
      </c>
      <c r="H38" s="30" t="s">
        <v>97</v>
      </c>
      <c r="I38" s="30" t="s">
        <v>98</v>
      </c>
      <c r="J38" s="32"/>
      <c r="K38" s="33">
        <v>45561</v>
      </c>
      <c r="L38" s="30"/>
      <c r="M38" s="30" t="s">
        <v>114</v>
      </c>
      <c r="N38" s="30">
        <v>75</v>
      </c>
      <c r="O38" s="30" t="s">
        <v>98</v>
      </c>
      <c r="P38" s="30" t="s">
        <v>115</v>
      </c>
      <c r="Q38" s="30">
        <v>80</v>
      </c>
      <c r="R38" s="30"/>
      <c r="S38" s="34" t="s">
        <v>117</v>
      </c>
      <c r="T38" s="30">
        <v>48787</v>
      </c>
      <c r="U38" s="30" t="s">
        <v>104</v>
      </c>
      <c r="V38" s="41" t="s">
        <v>236</v>
      </c>
      <c r="W38" s="30">
        <v>6</v>
      </c>
      <c r="X38" s="30"/>
      <c r="Y38" s="30" t="s">
        <v>104</v>
      </c>
      <c r="Z38" s="30" t="s">
        <v>104</v>
      </c>
      <c r="AA38" s="30" t="s">
        <v>104</v>
      </c>
      <c r="AB38" s="30" t="s">
        <v>237</v>
      </c>
      <c r="AC38" s="41"/>
      <c r="AD38" s="30" t="str">
        <f>VLOOKUP(D38,prelim_final_estimates!C39:O202,13, FALSE)</f>
        <v>DIDSON/ARIS counter</v>
      </c>
      <c r="AE38" s="31">
        <f>VLOOKUP(D38,prelim_final_estimates!C36:H199, 6,FALSE )</f>
        <v>65165</v>
      </c>
      <c r="AF38" s="30">
        <f t="shared" si="0"/>
        <v>65165</v>
      </c>
      <c r="AG38" s="30" t="s">
        <v>104</v>
      </c>
    </row>
    <row r="39" spans="1:33" ht="15" customHeight="1" x14ac:dyDescent="0.25">
      <c r="A39" s="30" t="s">
        <v>204</v>
      </c>
      <c r="B39" s="30" t="s">
        <v>214</v>
      </c>
      <c r="C39" s="30" t="s">
        <v>238</v>
      </c>
      <c r="D39" s="30" t="s">
        <v>239</v>
      </c>
      <c r="E39" s="31">
        <v>2024</v>
      </c>
      <c r="F39" s="36" t="s">
        <v>95</v>
      </c>
      <c r="G39" s="36" t="s">
        <v>98</v>
      </c>
      <c r="H39" s="36" t="s">
        <v>97</v>
      </c>
      <c r="I39" s="36" t="s">
        <v>98</v>
      </c>
      <c r="J39" s="32">
        <v>6</v>
      </c>
      <c r="K39" s="33">
        <v>45545</v>
      </c>
      <c r="L39" s="30"/>
      <c r="M39" s="30" t="s">
        <v>114</v>
      </c>
      <c r="N39" s="37">
        <v>25</v>
      </c>
      <c r="O39" s="30" t="s">
        <v>100</v>
      </c>
      <c r="P39" s="30" t="s">
        <v>115</v>
      </c>
      <c r="Q39" s="30">
        <v>70</v>
      </c>
      <c r="R39" s="30"/>
      <c r="S39" s="34" t="s">
        <v>117</v>
      </c>
      <c r="T39" s="30">
        <v>5601</v>
      </c>
      <c r="U39" s="30" t="s">
        <v>104</v>
      </c>
      <c r="V39" s="30"/>
      <c r="W39" s="30">
        <v>1544</v>
      </c>
      <c r="X39" s="30">
        <v>3616</v>
      </c>
      <c r="Y39" s="30" t="s">
        <v>104</v>
      </c>
      <c r="Z39" s="30" t="s">
        <v>104</v>
      </c>
      <c r="AA39" s="30" t="s">
        <v>104</v>
      </c>
      <c r="AB39" s="30"/>
      <c r="AC39" s="30"/>
      <c r="AD39" s="30" t="str">
        <f>VLOOKUP(D39,prelim_final_estimates!C40:O203,13, FALSE)</f>
        <v>(Peak Live + Cumulative Dead)*Expansion</v>
      </c>
      <c r="AE39" s="31">
        <f>VLOOKUP(D39,prelim_final_estimates!C37:H200, 6,FALSE )</f>
        <v>12861</v>
      </c>
      <c r="AF39" s="30">
        <f>AE39*1.2</f>
        <v>15433.199999999999</v>
      </c>
      <c r="AG39" s="30" t="s">
        <v>240</v>
      </c>
    </row>
    <row r="40" spans="1:33" ht="15" customHeight="1" x14ac:dyDescent="0.25">
      <c r="A40" s="30" t="s">
        <v>241</v>
      </c>
      <c r="B40" s="30" t="s">
        <v>214</v>
      </c>
      <c r="C40" s="30" t="s">
        <v>242</v>
      </c>
      <c r="D40" s="32" t="s">
        <v>243</v>
      </c>
      <c r="E40" s="31">
        <v>2024</v>
      </c>
      <c r="F40" s="30" t="s">
        <v>95</v>
      </c>
      <c r="G40" s="30" t="s">
        <v>96</v>
      </c>
      <c r="H40" s="30" t="s">
        <v>156</v>
      </c>
      <c r="I40" s="30" t="s">
        <v>148</v>
      </c>
      <c r="J40" s="32">
        <v>3</v>
      </c>
      <c r="K40" s="33">
        <v>45553</v>
      </c>
      <c r="L40" s="30"/>
      <c r="M40" s="30" t="s">
        <v>99</v>
      </c>
      <c r="N40" s="30">
        <v>0</v>
      </c>
      <c r="O40" s="30" t="s">
        <v>98</v>
      </c>
      <c r="P40" s="30"/>
      <c r="Q40" s="30"/>
      <c r="R40" s="30"/>
      <c r="S40" s="34" t="s">
        <v>103</v>
      </c>
      <c r="T40" s="30">
        <v>570</v>
      </c>
      <c r="U40" s="30" t="s">
        <v>104</v>
      </c>
      <c r="V40" s="30" t="s">
        <v>244</v>
      </c>
      <c r="W40" s="30">
        <v>2</v>
      </c>
      <c r="X40" s="30"/>
      <c r="Y40" s="30" t="s">
        <v>104</v>
      </c>
      <c r="Z40" s="30">
        <v>0</v>
      </c>
      <c r="AA40" s="30" t="s">
        <v>104</v>
      </c>
      <c r="AB40" s="30" t="s">
        <v>245</v>
      </c>
      <c r="AC40" s="30"/>
      <c r="AD40" s="30" t="str">
        <f>VLOOKUP(D40,prelim_final_estimates!C41:O204,13, FALSE)</f>
        <v>(Peak Live + Cumulative Dead)*Expansion</v>
      </c>
      <c r="AE40" s="31">
        <f>VLOOKUP(D40,prelim_final_estimates!C38:H201, 6,FALSE )</f>
        <v>1030</v>
      </c>
      <c r="AF40" s="30">
        <f>AE40*1.5</f>
        <v>1545</v>
      </c>
      <c r="AG40" s="30" t="s">
        <v>246</v>
      </c>
    </row>
    <row r="41" spans="1:33" x14ac:dyDescent="0.25">
      <c r="A41" s="30" t="s">
        <v>241</v>
      </c>
      <c r="B41" s="30" t="s">
        <v>214</v>
      </c>
      <c r="C41" s="30" t="s">
        <v>247</v>
      </c>
      <c r="D41" s="30" t="s">
        <v>248</v>
      </c>
      <c r="E41" s="31">
        <v>2024</v>
      </c>
      <c r="F41" s="30" t="s">
        <v>95</v>
      </c>
      <c r="G41" s="30" t="s">
        <v>96</v>
      </c>
      <c r="H41" s="30" t="s">
        <v>97</v>
      </c>
      <c r="I41" s="30" t="s">
        <v>98</v>
      </c>
      <c r="J41" s="32">
        <v>2</v>
      </c>
      <c r="K41" s="33">
        <v>45563</v>
      </c>
      <c r="L41" s="30"/>
      <c r="M41" s="30" t="s">
        <v>98</v>
      </c>
      <c r="N41" s="30">
        <v>100</v>
      </c>
      <c r="O41" s="30" t="s">
        <v>98</v>
      </c>
      <c r="P41" s="30"/>
      <c r="Q41" s="30"/>
      <c r="R41" s="30"/>
      <c r="S41" s="34" t="s">
        <v>103</v>
      </c>
      <c r="T41" s="30">
        <v>501</v>
      </c>
      <c r="U41" s="30" t="s">
        <v>104</v>
      </c>
      <c r="V41" s="30" t="s">
        <v>249</v>
      </c>
      <c r="W41" s="30" t="s">
        <v>104</v>
      </c>
      <c r="X41" s="30"/>
      <c r="Y41" s="30" t="s">
        <v>104</v>
      </c>
      <c r="Z41" s="30" t="s">
        <v>104</v>
      </c>
      <c r="AA41" s="30" t="s">
        <v>104</v>
      </c>
      <c r="AB41" s="30" t="s">
        <v>250</v>
      </c>
      <c r="AC41" s="30"/>
      <c r="AD41" s="30" t="str">
        <f>VLOOKUP(D41,prelim_final_estimates!C42:O205,13, FALSE)</f>
        <v>(Peak Live + Cumulative Dead)*Expansion</v>
      </c>
      <c r="AE41" s="31">
        <f>VLOOKUP(D41,prelim_final_estimates!C39:H202, 6,FALSE )</f>
        <v>947</v>
      </c>
      <c r="AF41" s="30">
        <f>AE41*1.3</f>
        <v>1231.1000000000001</v>
      </c>
      <c r="AG41" s="30" t="s">
        <v>251</v>
      </c>
    </row>
    <row r="42" spans="1:33" x14ac:dyDescent="0.25">
      <c r="A42" s="30" t="s">
        <v>241</v>
      </c>
      <c r="B42" s="30" t="s">
        <v>214</v>
      </c>
      <c r="C42" s="30" t="s">
        <v>252</v>
      </c>
      <c r="D42" s="30" t="s">
        <v>253</v>
      </c>
      <c r="E42" s="31">
        <v>2024</v>
      </c>
      <c r="F42" s="30" t="s">
        <v>95</v>
      </c>
      <c r="G42" s="30" t="s">
        <v>96</v>
      </c>
      <c r="H42" s="30" t="s">
        <v>97</v>
      </c>
      <c r="I42" s="30" t="s">
        <v>98</v>
      </c>
      <c r="J42" s="32">
        <v>6</v>
      </c>
      <c r="K42" s="33">
        <v>45565</v>
      </c>
      <c r="L42" s="30"/>
      <c r="M42" s="30" t="s">
        <v>99</v>
      </c>
      <c r="N42" s="30">
        <v>25</v>
      </c>
      <c r="O42" s="30" t="s">
        <v>100</v>
      </c>
      <c r="P42" s="30" t="s">
        <v>115</v>
      </c>
      <c r="Q42" s="30">
        <v>75</v>
      </c>
      <c r="R42" s="30"/>
      <c r="S42" s="34" t="s">
        <v>117</v>
      </c>
      <c r="T42" s="30">
        <v>41</v>
      </c>
      <c r="U42" s="30" t="s">
        <v>104</v>
      </c>
      <c r="V42" s="30" t="s">
        <v>254</v>
      </c>
      <c r="W42" s="30">
        <v>5</v>
      </c>
      <c r="X42" s="30"/>
      <c r="Y42" s="30" t="s">
        <v>104</v>
      </c>
      <c r="Z42" s="30" t="s">
        <v>104</v>
      </c>
      <c r="AA42" s="30" t="s">
        <v>104</v>
      </c>
      <c r="AB42" s="30" t="s">
        <v>255</v>
      </c>
      <c r="AC42" s="30"/>
      <c r="AD42" s="30" t="str">
        <f>VLOOKUP(D42,prelim_final_estimates!C43:O206,13, FALSE)</f>
        <v>(Peak Live + Cumulative Dead)*Expansion</v>
      </c>
      <c r="AE42" s="31">
        <f>VLOOKUP(D42,prelim_final_estimates!C40:H203, 6,FALSE )</f>
        <v>83</v>
      </c>
      <c r="AF42" s="30">
        <f>AE42*1.4</f>
        <v>116.19999999999999</v>
      </c>
      <c r="AG42" s="30" t="s">
        <v>256</v>
      </c>
    </row>
    <row r="43" spans="1:33" x14ac:dyDescent="0.25">
      <c r="A43" s="30" t="s">
        <v>241</v>
      </c>
      <c r="B43" s="30" t="s">
        <v>214</v>
      </c>
      <c r="C43" s="30" t="s">
        <v>252</v>
      </c>
      <c r="D43" s="30" t="s">
        <v>257</v>
      </c>
      <c r="E43" s="31">
        <v>2024</v>
      </c>
      <c r="F43" s="30" t="s">
        <v>95</v>
      </c>
      <c r="G43" s="30" t="s">
        <v>98</v>
      </c>
      <c r="H43" s="30" t="s">
        <v>97</v>
      </c>
      <c r="I43" s="30" t="s">
        <v>98</v>
      </c>
      <c r="J43" s="32">
        <v>7</v>
      </c>
      <c r="K43" s="33">
        <v>45555</v>
      </c>
      <c r="L43" s="30"/>
      <c r="M43" s="30" t="s">
        <v>99</v>
      </c>
      <c r="N43" s="30">
        <v>25</v>
      </c>
      <c r="O43" s="30" t="s">
        <v>100</v>
      </c>
      <c r="P43" s="30" t="s">
        <v>115</v>
      </c>
      <c r="Q43" s="30">
        <v>80</v>
      </c>
      <c r="R43" s="30"/>
      <c r="S43" s="34" t="s">
        <v>117</v>
      </c>
      <c r="T43" s="30">
        <v>3090</v>
      </c>
      <c r="U43" s="30" t="s">
        <v>104</v>
      </c>
      <c r="V43" s="30" t="s">
        <v>258</v>
      </c>
      <c r="W43" s="30">
        <v>82</v>
      </c>
      <c r="X43" s="30">
        <v>145</v>
      </c>
      <c r="Y43" s="30" t="s">
        <v>104</v>
      </c>
      <c r="Z43" s="30" t="s">
        <v>104</v>
      </c>
      <c r="AA43" s="30" t="s">
        <v>104</v>
      </c>
      <c r="AB43" s="30"/>
      <c r="AC43" s="30"/>
      <c r="AD43" s="30" t="str">
        <f>VLOOKUP(D43,prelim_final_estimates!C44:O207,13, FALSE)</f>
        <v>(Peak Live + Cumulative Dead)*Expansion</v>
      </c>
      <c r="AE43" s="31">
        <f>VLOOKUP(D43,prelim_final_estimates!C41:H204, 6,FALSE )</f>
        <v>5710</v>
      </c>
      <c r="AF43" s="30">
        <f>AE43*1.3</f>
        <v>7423</v>
      </c>
      <c r="AG43" s="30" t="s">
        <v>259</v>
      </c>
    </row>
    <row r="44" spans="1:33" x14ac:dyDescent="0.25">
      <c r="A44" s="30" t="s">
        <v>241</v>
      </c>
      <c r="B44" s="30" t="s">
        <v>214</v>
      </c>
      <c r="C44" s="30" t="s">
        <v>252</v>
      </c>
      <c r="D44" s="30" t="s">
        <v>260</v>
      </c>
      <c r="E44" s="31">
        <v>2024</v>
      </c>
      <c r="F44" s="30" t="s">
        <v>95</v>
      </c>
      <c r="G44" s="30" t="s">
        <v>98</v>
      </c>
      <c r="H44" s="30" t="s">
        <v>97</v>
      </c>
      <c r="I44" s="30" t="s">
        <v>98</v>
      </c>
      <c r="J44" s="32">
        <v>8</v>
      </c>
      <c r="K44" s="33">
        <v>45568</v>
      </c>
      <c r="L44" s="30"/>
      <c r="M44" s="30" t="s">
        <v>98</v>
      </c>
      <c r="N44" s="30">
        <v>75</v>
      </c>
      <c r="O44" s="30" t="s">
        <v>100</v>
      </c>
      <c r="P44" s="30" t="s">
        <v>101</v>
      </c>
      <c r="Q44" s="30">
        <v>82</v>
      </c>
      <c r="R44" s="30"/>
      <c r="S44" s="34" t="s">
        <v>117</v>
      </c>
      <c r="T44" s="30">
        <v>1603</v>
      </c>
      <c r="U44" s="30" t="s">
        <v>104</v>
      </c>
      <c r="V44" s="30" t="s">
        <v>261</v>
      </c>
      <c r="W44" s="30">
        <v>32</v>
      </c>
      <c r="X44" s="30">
        <v>277</v>
      </c>
      <c r="Y44" s="30" t="s">
        <v>104</v>
      </c>
      <c r="Z44" s="30" t="s">
        <v>104</v>
      </c>
      <c r="AA44" s="30" t="s">
        <v>104</v>
      </c>
      <c r="AB44" s="30"/>
      <c r="AC44" s="30"/>
      <c r="AD44" s="30" t="str">
        <f>VLOOKUP(D44,prelim_final_estimates!C45:O208,13, FALSE)</f>
        <v>(Peak Live + Cumulative Dead)*Expansion</v>
      </c>
      <c r="AE44" s="31">
        <f>VLOOKUP(D44,prelim_final_estimates!C42:H205, 6,FALSE )</f>
        <v>2943</v>
      </c>
      <c r="AF44" s="30">
        <f t="shared" si="0"/>
        <v>2943</v>
      </c>
      <c r="AG44" s="30" t="s">
        <v>104</v>
      </c>
    </row>
    <row r="45" spans="1:33" x14ac:dyDescent="0.25">
      <c r="A45" s="30" t="s">
        <v>241</v>
      </c>
      <c r="B45" s="30" t="s">
        <v>214</v>
      </c>
      <c r="C45" s="30" t="s">
        <v>252</v>
      </c>
      <c r="D45" s="30" t="s">
        <v>262</v>
      </c>
      <c r="E45" s="31">
        <v>2024</v>
      </c>
      <c r="F45" s="30" t="s">
        <v>95</v>
      </c>
      <c r="G45" s="30" t="s">
        <v>96</v>
      </c>
      <c r="H45" s="30" t="s">
        <v>97</v>
      </c>
      <c r="I45" s="30" t="s">
        <v>98</v>
      </c>
      <c r="J45" s="32"/>
      <c r="K45" s="33">
        <v>45923</v>
      </c>
      <c r="L45" s="30"/>
      <c r="M45" s="30" t="s">
        <v>98</v>
      </c>
      <c r="N45" s="30">
        <v>75</v>
      </c>
      <c r="O45" s="30" t="s">
        <v>100</v>
      </c>
      <c r="P45" s="30" t="s">
        <v>115</v>
      </c>
      <c r="Q45" s="30">
        <v>70</v>
      </c>
      <c r="R45" s="30"/>
      <c r="S45" s="34" t="s">
        <v>103</v>
      </c>
      <c r="T45" s="30">
        <v>9</v>
      </c>
      <c r="U45" s="30" t="s">
        <v>104</v>
      </c>
      <c r="V45" s="30" t="s">
        <v>263</v>
      </c>
      <c r="W45" s="30" t="s">
        <v>104</v>
      </c>
      <c r="X45" s="30"/>
      <c r="Y45" s="30" t="s">
        <v>104</v>
      </c>
      <c r="Z45" s="30">
        <v>0</v>
      </c>
      <c r="AA45" s="30" t="s">
        <v>104</v>
      </c>
      <c r="AB45" s="30"/>
      <c r="AC45" s="30"/>
      <c r="AD45" s="30" t="s">
        <v>264</v>
      </c>
      <c r="AE45" s="31">
        <v>16</v>
      </c>
      <c r="AF45" s="30">
        <f>AE45*1.4</f>
        <v>22.4</v>
      </c>
      <c r="AG45" s="30" t="s">
        <v>256</v>
      </c>
    </row>
    <row r="46" spans="1:33" ht="12.75" customHeight="1" x14ac:dyDescent="0.25">
      <c r="A46" s="30" t="s">
        <v>241</v>
      </c>
      <c r="B46" s="30" t="s">
        <v>214</v>
      </c>
      <c r="C46" s="30" t="s">
        <v>252</v>
      </c>
      <c r="D46" s="30" t="s">
        <v>265</v>
      </c>
      <c r="E46" s="31">
        <v>2024</v>
      </c>
      <c r="F46" s="30" t="s">
        <v>95</v>
      </c>
      <c r="G46" s="30" t="s">
        <v>98</v>
      </c>
      <c r="H46" s="30" t="s">
        <v>113</v>
      </c>
      <c r="I46" s="30" t="s">
        <v>148</v>
      </c>
      <c r="J46" s="32">
        <v>7</v>
      </c>
      <c r="K46" s="33">
        <v>45924</v>
      </c>
      <c r="L46" s="30"/>
      <c r="M46" s="30" t="s">
        <v>99</v>
      </c>
      <c r="N46" s="30">
        <v>50</v>
      </c>
      <c r="O46" s="30" t="s">
        <v>100</v>
      </c>
      <c r="P46" s="30" t="s">
        <v>115</v>
      </c>
      <c r="Q46" s="30">
        <v>53.3</v>
      </c>
      <c r="R46" s="30"/>
      <c r="S46" s="34" t="s">
        <v>117</v>
      </c>
      <c r="T46" s="30">
        <v>316</v>
      </c>
      <c r="U46" s="30" t="s">
        <v>104</v>
      </c>
      <c r="V46" s="30" t="s">
        <v>266</v>
      </c>
      <c r="W46" s="30">
        <v>1</v>
      </c>
      <c r="X46" s="30"/>
      <c r="Y46" s="30" t="s">
        <v>104</v>
      </c>
      <c r="Z46" s="30" t="s">
        <v>104</v>
      </c>
      <c r="AA46" s="30" t="s">
        <v>104</v>
      </c>
      <c r="AB46" s="30"/>
      <c r="AC46" s="30"/>
      <c r="AD46" s="30" t="str">
        <f>VLOOKUP(D46,prelim_final_estimates!C47:O210,13, FALSE)</f>
        <v>(Peak Live + Cumulative Dead)*Expansion</v>
      </c>
      <c r="AE46" s="31">
        <f>VLOOKUP(D46,prelim_final_estimates!C44:H207, 6,FALSE )</f>
        <v>571</v>
      </c>
      <c r="AF46" s="30">
        <f>AE46*1.4</f>
        <v>799.4</v>
      </c>
      <c r="AG46" s="30" t="s">
        <v>267</v>
      </c>
    </row>
    <row r="47" spans="1:33" x14ac:dyDescent="0.25">
      <c r="A47" s="30" t="s">
        <v>241</v>
      </c>
      <c r="B47" s="30" t="s">
        <v>214</v>
      </c>
      <c r="C47" s="30" t="s">
        <v>252</v>
      </c>
      <c r="D47" s="30" t="s">
        <v>268</v>
      </c>
      <c r="E47" s="31">
        <v>2024</v>
      </c>
      <c r="F47" s="30" t="s">
        <v>95</v>
      </c>
      <c r="G47" s="30" t="s">
        <v>108</v>
      </c>
      <c r="H47" s="30" t="s">
        <v>97</v>
      </c>
      <c r="I47" s="30" t="s">
        <v>98</v>
      </c>
      <c r="J47" s="32">
        <v>6</v>
      </c>
      <c r="K47" s="33">
        <v>45564</v>
      </c>
      <c r="L47" s="30"/>
      <c r="M47" s="30" t="s">
        <v>98</v>
      </c>
      <c r="N47" s="30">
        <v>100</v>
      </c>
      <c r="O47" s="30" t="s">
        <v>100</v>
      </c>
      <c r="P47" s="30" t="s">
        <v>115</v>
      </c>
      <c r="Q47" s="30">
        <v>90</v>
      </c>
      <c r="R47" s="30"/>
      <c r="S47" s="34" t="s">
        <v>117</v>
      </c>
      <c r="T47" s="30">
        <v>32</v>
      </c>
      <c r="U47" s="30" t="s">
        <v>104</v>
      </c>
      <c r="V47" s="30" t="s">
        <v>269</v>
      </c>
      <c r="W47" s="30">
        <v>0</v>
      </c>
      <c r="X47" s="30"/>
      <c r="Y47" s="30" t="s">
        <v>104</v>
      </c>
      <c r="Z47" s="30" t="s">
        <v>104</v>
      </c>
      <c r="AA47" s="30" t="s">
        <v>104</v>
      </c>
      <c r="AB47" s="30" t="s">
        <v>122</v>
      </c>
      <c r="AC47" s="30"/>
      <c r="AD47" s="30" t="str">
        <f>VLOOKUP(D47,prelim_final_estimates!C48:O211,13, FALSE)</f>
        <v>(Peak Live + Cumulative Dead)*Expansion</v>
      </c>
      <c r="AE47" s="31">
        <f>VLOOKUP(D47,prelim_final_estimates!C45:H208, 6,FALSE )</f>
        <v>58</v>
      </c>
      <c r="AF47" s="30">
        <f t="shared" si="0"/>
        <v>58</v>
      </c>
      <c r="AG47" s="30" t="s">
        <v>104</v>
      </c>
    </row>
    <row r="48" spans="1:33" x14ac:dyDescent="0.25">
      <c r="A48" s="32" t="s">
        <v>164</v>
      </c>
      <c r="B48" s="30" t="s">
        <v>214</v>
      </c>
      <c r="C48" s="32" t="s">
        <v>270</v>
      </c>
      <c r="D48" s="32" t="s">
        <v>271</v>
      </c>
      <c r="E48" s="31">
        <v>2024</v>
      </c>
      <c r="F48" s="30" t="s">
        <v>147</v>
      </c>
      <c r="G48" s="30" t="s">
        <v>128</v>
      </c>
      <c r="H48" s="30" t="s">
        <v>97</v>
      </c>
      <c r="I48" s="30" t="s">
        <v>98</v>
      </c>
      <c r="J48" s="32">
        <v>1</v>
      </c>
      <c r="K48" s="33">
        <v>45602</v>
      </c>
      <c r="L48" s="30"/>
      <c r="M48" s="30" t="s">
        <v>114</v>
      </c>
      <c r="N48" s="30">
        <v>100</v>
      </c>
      <c r="O48" s="30" t="s">
        <v>98</v>
      </c>
      <c r="P48" s="30" t="s">
        <v>115</v>
      </c>
      <c r="Q48" s="30">
        <v>80</v>
      </c>
      <c r="R48" s="30"/>
      <c r="S48" s="34" t="s">
        <v>103</v>
      </c>
      <c r="T48" s="30">
        <v>92</v>
      </c>
      <c r="U48" s="30" t="s">
        <v>104</v>
      </c>
      <c r="V48" s="30" t="s">
        <v>272</v>
      </c>
      <c r="W48" s="30">
        <v>24</v>
      </c>
      <c r="X48" s="30">
        <v>24</v>
      </c>
      <c r="Y48" s="30" t="s">
        <v>104</v>
      </c>
      <c r="Z48" s="30" t="s">
        <v>104</v>
      </c>
      <c r="AA48" s="30" t="s">
        <v>104</v>
      </c>
      <c r="AB48" s="30" t="s">
        <v>273</v>
      </c>
      <c r="AC48" s="30"/>
      <c r="AD48" s="30" t="str">
        <f>VLOOKUP(D48,prelim_final_estimates!C49:O212,13, FALSE)</f>
        <v>(Peak Live + Cumulative Dead)*Expansion</v>
      </c>
      <c r="AE48" s="31">
        <f>VLOOKUP(D48,prelim_final_estimates!C46:H209, 6,FALSE )</f>
        <v>191</v>
      </c>
      <c r="AF48" s="30">
        <f t="shared" si="0"/>
        <v>191</v>
      </c>
      <c r="AG48" s="30" t="s">
        <v>104</v>
      </c>
    </row>
    <row r="49" spans="1:33" x14ac:dyDescent="0.25">
      <c r="A49" s="32" t="s">
        <v>204</v>
      </c>
      <c r="B49" s="30" t="s">
        <v>214</v>
      </c>
      <c r="C49" s="32" t="s">
        <v>274</v>
      </c>
      <c r="D49" s="32" t="s">
        <v>275</v>
      </c>
      <c r="E49" s="31">
        <v>2024</v>
      </c>
      <c r="F49" s="30" t="s">
        <v>95</v>
      </c>
      <c r="G49" s="30" t="s">
        <v>98</v>
      </c>
      <c r="H49" s="30" t="s">
        <v>97</v>
      </c>
      <c r="I49" s="30" t="s">
        <v>129</v>
      </c>
      <c r="J49" s="32">
        <v>1</v>
      </c>
      <c r="K49" s="33">
        <v>45547</v>
      </c>
      <c r="L49" s="30"/>
      <c r="M49" s="30" t="s">
        <v>98</v>
      </c>
      <c r="N49" s="30">
        <v>100</v>
      </c>
      <c r="O49" s="30" t="s">
        <v>100</v>
      </c>
      <c r="P49" s="30" t="s">
        <v>135</v>
      </c>
      <c r="Q49" s="30">
        <v>79</v>
      </c>
      <c r="R49" s="30"/>
      <c r="S49" s="34" t="s">
        <v>103</v>
      </c>
      <c r="T49" s="30">
        <v>55</v>
      </c>
      <c r="U49" s="30" t="s">
        <v>104</v>
      </c>
      <c r="V49" s="30"/>
      <c r="W49" s="30">
        <v>3</v>
      </c>
      <c r="X49" s="30">
        <v>3</v>
      </c>
      <c r="Y49" s="30" t="s">
        <v>104</v>
      </c>
      <c r="Z49" s="30" t="s">
        <v>104</v>
      </c>
      <c r="AA49" s="30" t="s">
        <v>104</v>
      </c>
      <c r="AB49" s="30"/>
      <c r="AC49" s="30"/>
      <c r="AD49" s="30" t="str">
        <f>VLOOKUP(D49,prelim_final_estimates!C50:O213,13, FALSE)</f>
        <v>(Peak Live + Cumulative Dead)*Expansion</v>
      </c>
      <c r="AE49" s="31">
        <f>VLOOKUP(D49,prelim_final_estimates!C47:H210, 6,FALSE )</f>
        <v>104</v>
      </c>
      <c r="AF49" s="30">
        <f>AE49*1.2</f>
        <v>124.8</v>
      </c>
      <c r="AG49" s="30" t="s">
        <v>98</v>
      </c>
    </row>
    <row r="50" spans="1:33" x14ac:dyDescent="0.25">
      <c r="A50" s="32" t="s">
        <v>276</v>
      </c>
      <c r="B50" s="30" t="s">
        <v>214</v>
      </c>
      <c r="C50" s="32" t="s">
        <v>277</v>
      </c>
      <c r="D50" s="32" t="s">
        <v>278</v>
      </c>
      <c r="E50" s="31">
        <v>2024</v>
      </c>
      <c r="F50" s="30" t="s">
        <v>95</v>
      </c>
      <c r="G50" s="30" t="s">
        <v>98</v>
      </c>
      <c r="H50" s="30" t="s">
        <v>113</v>
      </c>
      <c r="I50" s="30" t="s">
        <v>98</v>
      </c>
      <c r="J50" s="32">
        <v>3</v>
      </c>
      <c r="K50" s="33">
        <v>45551</v>
      </c>
      <c r="L50" s="30"/>
      <c r="M50" s="30" t="s">
        <v>99</v>
      </c>
      <c r="N50" s="30">
        <v>0</v>
      </c>
      <c r="O50" s="30" t="s">
        <v>98</v>
      </c>
      <c r="P50" s="30" t="s">
        <v>175</v>
      </c>
      <c r="Q50" s="30">
        <v>67</v>
      </c>
      <c r="R50" s="30"/>
      <c r="S50" s="34" t="s">
        <v>117</v>
      </c>
      <c r="T50" s="30">
        <v>127</v>
      </c>
      <c r="U50" s="30" t="s">
        <v>104</v>
      </c>
      <c r="V50" s="30"/>
      <c r="W50" s="30">
        <v>8</v>
      </c>
      <c r="X50" s="30">
        <v>14</v>
      </c>
      <c r="Y50" s="30" t="s">
        <v>104</v>
      </c>
      <c r="Z50" s="30" t="s">
        <v>104</v>
      </c>
      <c r="AA50" s="30" t="s">
        <v>104</v>
      </c>
      <c r="AB50" s="30"/>
      <c r="AC50" s="30"/>
      <c r="AD50" s="30" t="str">
        <f>VLOOKUP(D50,prelim_final_estimates!C51:O214,13, FALSE)</f>
        <v>(Peak Live + Cumulative Dead)*Expansion</v>
      </c>
      <c r="AE50" s="31">
        <f>VLOOKUP(D50,prelim_final_estimates!C48:H211, 6,FALSE )</f>
        <v>248</v>
      </c>
      <c r="AF50" s="30">
        <f>AE50*1.3</f>
        <v>322.40000000000003</v>
      </c>
      <c r="AG50" s="30" t="s">
        <v>279</v>
      </c>
    </row>
    <row r="51" spans="1:33" x14ac:dyDescent="0.25">
      <c r="A51" s="36" t="s">
        <v>280</v>
      </c>
      <c r="B51" s="36" t="s">
        <v>281</v>
      </c>
      <c r="C51" s="36" t="s">
        <v>282</v>
      </c>
      <c r="D51" s="32" t="s">
        <v>283</v>
      </c>
      <c r="E51" s="31">
        <v>2024</v>
      </c>
      <c r="F51" s="36" t="s">
        <v>147</v>
      </c>
      <c r="G51" s="36" t="s">
        <v>96</v>
      </c>
      <c r="H51" s="36" t="s">
        <v>97</v>
      </c>
      <c r="I51" s="36" t="s">
        <v>98</v>
      </c>
      <c r="J51" s="32">
        <v>6</v>
      </c>
      <c r="K51" s="33">
        <v>45586</v>
      </c>
      <c r="L51" s="30"/>
      <c r="M51" s="30" t="s">
        <v>114</v>
      </c>
      <c r="N51" s="37">
        <v>50</v>
      </c>
      <c r="O51" s="30" t="s">
        <v>100</v>
      </c>
      <c r="P51" s="30" t="s">
        <v>101</v>
      </c>
      <c r="Q51" s="30">
        <v>60</v>
      </c>
      <c r="R51" s="30"/>
      <c r="S51" s="34" t="s">
        <v>117</v>
      </c>
      <c r="T51" s="30">
        <v>745</v>
      </c>
      <c r="U51" s="30" t="s">
        <v>104</v>
      </c>
      <c r="V51" s="30"/>
      <c r="W51" s="30">
        <v>18</v>
      </c>
      <c r="X51" s="30">
        <v>42</v>
      </c>
      <c r="Y51" s="30" t="s">
        <v>104</v>
      </c>
      <c r="Z51" s="30" t="s">
        <v>104</v>
      </c>
      <c r="AA51" s="30" t="s">
        <v>104</v>
      </c>
      <c r="AB51" s="30"/>
      <c r="AC51" s="30"/>
      <c r="AD51" s="30" t="str">
        <f>VLOOKUP(D51,prelim_final_estimates!C30:O193,13, FALSE)</f>
        <v>(Peak Live + Cumulative Dead)*Expansion</v>
      </c>
      <c r="AE51" s="31">
        <v>1373</v>
      </c>
      <c r="AF51" s="30">
        <f>AE51*1.2</f>
        <v>1647.6</v>
      </c>
      <c r="AG51" s="30" t="s">
        <v>96</v>
      </c>
    </row>
    <row r="52" spans="1:33" x14ac:dyDescent="0.25">
      <c r="A52" s="36" t="s">
        <v>280</v>
      </c>
      <c r="B52" s="36" t="s">
        <v>281</v>
      </c>
      <c r="C52" s="36" t="s">
        <v>282</v>
      </c>
      <c r="D52" s="30" t="s">
        <v>284</v>
      </c>
      <c r="E52" s="31">
        <v>2024</v>
      </c>
      <c r="F52" s="42" t="s">
        <v>147</v>
      </c>
      <c r="G52" s="42" t="s">
        <v>223</v>
      </c>
      <c r="H52" s="42" t="s">
        <v>97</v>
      </c>
      <c r="I52" s="30" t="s">
        <v>98</v>
      </c>
      <c r="J52" s="32">
        <v>4</v>
      </c>
      <c r="K52" s="43">
        <v>45595</v>
      </c>
      <c r="L52" s="30"/>
      <c r="M52" s="30" t="s">
        <v>114</v>
      </c>
      <c r="N52" s="44">
        <v>50</v>
      </c>
      <c r="O52" s="30" t="s">
        <v>98</v>
      </c>
      <c r="P52" s="30" t="s">
        <v>101</v>
      </c>
      <c r="Q52" s="30">
        <v>40</v>
      </c>
      <c r="R52" s="30"/>
      <c r="S52" s="34" t="s">
        <v>117</v>
      </c>
      <c r="T52" s="30">
        <v>32</v>
      </c>
      <c r="U52" s="30" t="s">
        <v>104</v>
      </c>
      <c r="V52" s="30"/>
      <c r="W52" s="30">
        <v>11</v>
      </c>
      <c r="X52" s="30"/>
      <c r="Y52" s="30" t="s">
        <v>104</v>
      </c>
      <c r="Z52" s="30" t="s">
        <v>104</v>
      </c>
      <c r="AA52" s="30" t="s">
        <v>104</v>
      </c>
      <c r="AB52" s="30"/>
      <c r="AC52" s="30"/>
      <c r="AD52" s="30" t="str">
        <f>VLOOKUP(D52,prelim_final_estimates!C31:O194,13, FALSE)</f>
        <v>(Peak Live + Cumulative Dead)*Expansion</v>
      </c>
      <c r="AE52" s="31">
        <f>VLOOKUP(D52,prelim_final_estimates!C28:H191, 6,FALSE )</f>
        <v>77</v>
      </c>
      <c r="AF52" s="30">
        <f>AE52*2</f>
        <v>154</v>
      </c>
      <c r="AG52" s="30" t="s">
        <v>223</v>
      </c>
    </row>
    <row r="53" spans="1:33" ht="12.75" customHeight="1" x14ac:dyDescent="0.25">
      <c r="A53" s="36" t="s">
        <v>280</v>
      </c>
      <c r="B53" s="36" t="s">
        <v>281</v>
      </c>
      <c r="C53" s="36" t="s">
        <v>282</v>
      </c>
      <c r="D53" s="30" t="s">
        <v>285</v>
      </c>
      <c r="E53" s="31">
        <v>2024</v>
      </c>
      <c r="F53" s="30" t="s">
        <v>95</v>
      </c>
      <c r="G53" s="30" t="s">
        <v>96</v>
      </c>
      <c r="H53" s="30" t="s">
        <v>113</v>
      </c>
      <c r="I53" s="30" t="s">
        <v>98</v>
      </c>
      <c r="J53" s="32">
        <v>4</v>
      </c>
      <c r="K53" s="33">
        <v>45583</v>
      </c>
      <c r="L53" s="30"/>
      <c r="M53" s="30" t="s">
        <v>98</v>
      </c>
      <c r="N53" s="30">
        <v>100</v>
      </c>
      <c r="O53" s="30" t="s">
        <v>100</v>
      </c>
      <c r="P53" s="30" t="s">
        <v>101</v>
      </c>
      <c r="Q53" s="30">
        <v>45</v>
      </c>
      <c r="R53" s="30"/>
      <c r="S53" s="34" t="s">
        <v>117</v>
      </c>
      <c r="T53" s="30">
        <v>13</v>
      </c>
      <c r="U53" s="30" t="s">
        <v>104</v>
      </c>
      <c r="V53" s="38" t="s">
        <v>286</v>
      </c>
      <c r="W53" s="30">
        <v>2</v>
      </c>
      <c r="X53" s="30">
        <v>3</v>
      </c>
      <c r="Y53" s="30" t="s">
        <v>104</v>
      </c>
      <c r="Z53" s="30" t="s">
        <v>104</v>
      </c>
      <c r="AA53" s="30" t="s">
        <v>104</v>
      </c>
      <c r="AB53" s="38" t="s">
        <v>287</v>
      </c>
      <c r="AC53" s="38"/>
      <c r="AD53" s="30" t="str">
        <f>VLOOKUP(D53,prelim_final_estimates!C32:O195,13, FALSE)</f>
        <v>(Peak Live + Cumulative Dead)*Expansion</v>
      </c>
      <c r="AE53" s="31">
        <f>VLOOKUP(D53,prelim_final_estimates!C29:H192, 6,FALSE )</f>
        <v>27</v>
      </c>
      <c r="AF53" s="30">
        <f>AE53*1.3</f>
        <v>35.1</v>
      </c>
      <c r="AG53" s="30" t="s">
        <v>288</v>
      </c>
    </row>
    <row r="54" spans="1:33" ht="12.75" customHeight="1" x14ac:dyDescent="0.25">
      <c r="A54" s="32" t="s">
        <v>280</v>
      </c>
      <c r="B54" s="36" t="s">
        <v>281</v>
      </c>
      <c r="C54" s="32" t="s">
        <v>289</v>
      </c>
      <c r="D54" s="32" t="s">
        <v>290</v>
      </c>
      <c r="E54" s="31">
        <v>2024</v>
      </c>
      <c r="F54" s="30" t="s">
        <v>95</v>
      </c>
      <c r="G54" s="30" t="s">
        <v>98</v>
      </c>
      <c r="H54" s="30" t="s">
        <v>97</v>
      </c>
      <c r="I54" s="30" t="s">
        <v>98</v>
      </c>
      <c r="J54" s="32">
        <v>3</v>
      </c>
      <c r="K54" s="33">
        <v>45574</v>
      </c>
      <c r="L54" s="30"/>
      <c r="M54" s="30" t="s">
        <v>98</v>
      </c>
      <c r="N54" s="30">
        <v>100</v>
      </c>
      <c r="O54" s="30" t="s">
        <v>98</v>
      </c>
      <c r="P54" s="30" t="s">
        <v>101</v>
      </c>
      <c r="Q54" s="30">
        <v>45</v>
      </c>
      <c r="R54" s="30"/>
      <c r="S54" s="34" t="s">
        <v>117</v>
      </c>
      <c r="T54" s="30">
        <v>2</v>
      </c>
      <c r="U54" s="30" t="s">
        <v>104</v>
      </c>
      <c r="V54" s="38"/>
      <c r="W54" s="30">
        <v>0</v>
      </c>
      <c r="X54" s="30">
        <v>0</v>
      </c>
      <c r="Y54" s="30" t="s">
        <v>104</v>
      </c>
      <c r="Z54" s="30" t="s">
        <v>104</v>
      </c>
      <c r="AA54" s="30" t="s">
        <v>104</v>
      </c>
      <c r="AB54" s="38" t="s">
        <v>122</v>
      </c>
      <c r="AC54" s="38"/>
      <c r="AD54" s="30" t="str">
        <f>VLOOKUP(D54,prelim_final_estimates!C33:O196,13, FALSE)</f>
        <v>(Peak Live + Cumulative Dead)*Expansion</v>
      </c>
      <c r="AE54" s="31">
        <f>VLOOKUP(D54,prelim_final_estimates!C30:H193, 6,FALSE )</f>
        <v>4</v>
      </c>
      <c r="AF54" s="30">
        <f>AE54*1.3</f>
        <v>5.2</v>
      </c>
      <c r="AG54" s="30" t="s">
        <v>288</v>
      </c>
    </row>
    <row r="55" spans="1:33" ht="12.75" customHeight="1" x14ac:dyDescent="0.25">
      <c r="A55" s="30" t="s">
        <v>192</v>
      </c>
      <c r="B55" s="36" t="s">
        <v>281</v>
      </c>
      <c r="C55" s="30" t="s">
        <v>291</v>
      </c>
      <c r="D55" s="30" t="s">
        <v>292</v>
      </c>
      <c r="E55" s="31">
        <v>2024</v>
      </c>
      <c r="F55" s="30" t="s">
        <v>95</v>
      </c>
      <c r="G55" s="30" t="s">
        <v>98</v>
      </c>
      <c r="H55" s="30" t="s">
        <v>97</v>
      </c>
      <c r="I55" s="30" t="s">
        <v>98</v>
      </c>
      <c r="J55" s="32">
        <v>4</v>
      </c>
      <c r="K55" s="33">
        <v>45588</v>
      </c>
      <c r="L55" s="30"/>
      <c r="M55" s="30" t="s">
        <v>114</v>
      </c>
      <c r="N55" s="30">
        <v>50</v>
      </c>
      <c r="O55" s="30" t="s">
        <v>100</v>
      </c>
      <c r="P55" s="30" t="s">
        <v>101</v>
      </c>
      <c r="Q55" s="30">
        <v>83</v>
      </c>
      <c r="R55" s="30"/>
      <c r="S55" s="34" t="s">
        <v>117</v>
      </c>
      <c r="T55" s="30">
        <v>166</v>
      </c>
      <c r="U55" s="30" t="s">
        <v>104</v>
      </c>
      <c r="V55" s="38" t="s">
        <v>293</v>
      </c>
      <c r="W55" s="30">
        <v>16</v>
      </c>
      <c r="X55" s="30"/>
      <c r="Y55" s="30" t="s">
        <v>104</v>
      </c>
      <c r="Z55" s="30" t="s">
        <v>104</v>
      </c>
      <c r="AA55" s="30" t="s">
        <v>104</v>
      </c>
      <c r="AB55" s="38" t="s">
        <v>294</v>
      </c>
      <c r="AC55" s="38"/>
      <c r="AD55" s="30" t="str">
        <f>VLOOKUP(D55,prelim_final_estimates!C33:O196,13, FALSE)</f>
        <v>(Peak Live + Cumulative Dead)*Expansion</v>
      </c>
      <c r="AE55" s="31">
        <f>VLOOKUP(D55,prelim_final_estimates!C30:H193, 6,FALSE )</f>
        <v>328</v>
      </c>
      <c r="AF55" s="30">
        <f>AE55*1.2</f>
        <v>393.59999999999997</v>
      </c>
      <c r="AG55" s="30" t="s">
        <v>98</v>
      </c>
    </row>
    <row r="56" spans="1:33" x14ac:dyDescent="0.25">
      <c r="A56" s="32" t="s">
        <v>295</v>
      </c>
      <c r="B56" s="36" t="s">
        <v>281</v>
      </c>
      <c r="C56" s="32" t="s">
        <v>296</v>
      </c>
      <c r="D56" s="32" t="s">
        <v>297</v>
      </c>
      <c r="E56" s="31">
        <v>2024</v>
      </c>
      <c r="F56" s="30" t="s">
        <v>95</v>
      </c>
      <c r="G56" s="30" t="s">
        <v>98</v>
      </c>
      <c r="H56" s="30" t="s">
        <v>156</v>
      </c>
      <c r="I56" s="30" t="s">
        <v>98</v>
      </c>
      <c r="J56" s="32">
        <v>5</v>
      </c>
      <c r="K56" s="33">
        <v>45553</v>
      </c>
      <c r="L56" s="30"/>
      <c r="M56" s="30" t="s">
        <v>98</v>
      </c>
      <c r="N56" s="30">
        <v>100</v>
      </c>
      <c r="O56" s="30" t="s">
        <v>157</v>
      </c>
      <c r="P56" s="30" t="s">
        <v>135</v>
      </c>
      <c r="Q56" s="30">
        <v>85</v>
      </c>
      <c r="R56" s="30"/>
      <c r="S56" s="34" t="s">
        <v>117</v>
      </c>
      <c r="T56" s="30">
        <v>341</v>
      </c>
      <c r="U56" s="30" t="s">
        <v>104</v>
      </c>
      <c r="V56" s="30" t="s">
        <v>298</v>
      </c>
      <c r="W56" s="30">
        <v>17</v>
      </c>
      <c r="X56" s="30">
        <v>25</v>
      </c>
      <c r="Y56" s="30" t="s">
        <v>104</v>
      </c>
      <c r="Z56" s="30" t="s">
        <v>104</v>
      </c>
      <c r="AA56" s="30" t="s">
        <v>104</v>
      </c>
      <c r="AB56" s="30"/>
      <c r="AC56" s="30"/>
      <c r="AD56" s="30" t="str">
        <f>VLOOKUP(D56,prelim_final_estimates!C34:O197,13, FALSE)</f>
        <v>(Peak Live + Cumulative Dead)*Expansion</v>
      </c>
      <c r="AE56" s="31">
        <f>VLOOKUP(D56,prelim_final_estimates!C31:H194, 6,FALSE )</f>
        <v>646</v>
      </c>
      <c r="AF56" s="30">
        <f>AE56*1.3</f>
        <v>839.80000000000007</v>
      </c>
      <c r="AG56" s="30" t="s">
        <v>156</v>
      </c>
    </row>
  </sheetData>
  <autoFilter ref="A1:AG56" xr:uid="{00000000-0001-0000-0100-000000000000}"/>
  <pageMargins left="0.7" right="0.7" top="0.75" bottom="0.75" header="0.3" footer="0.3"/>
  <pageSetup scale="13" fitToHeight="0" orientation="landscape" horizontalDpi="4294967293" r:id="rId1"/>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3A581-275D-4731-A9B4-B8BB4BB78AE8}">
  <dimension ref="A1:T165"/>
  <sheetViews>
    <sheetView workbookViewId="0">
      <selection activeCell="B161" sqref="B161:E161"/>
    </sheetView>
  </sheetViews>
  <sheetFormatPr defaultRowHeight="15" x14ac:dyDescent="0.25"/>
  <cols>
    <col min="3" max="3" width="25.7109375" bestFit="1" customWidth="1"/>
    <col min="16" max="16" width="13.85546875" bestFit="1" customWidth="1"/>
    <col min="17" max="17" width="13" bestFit="1" customWidth="1"/>
  </cols>
  <sheetData>
    <row r="1" spans="1:20" x14ac:dyDescent="0.25">
      <c r="A1" t="s">
        <v>299</v>
      </c>
      <c r="B1" t="s">
        <v>300</v>
      </c>
      <c r="C1" t="s">
        <v>301</v>
      </c>
      <c r="D1" t="s">
        <v>302</v>
      </c>
      <c r="E1" t="s">
        <v>303</v>
      </c>
      <c r="F1" t="s">
        <v>304</v>
      </c>
      <c r="G1" t="s">
        <v>305</v>
      </c>
      <c r="H1" t="s">
        <v>306</v>
      </c>
      <c r="I1" t="s">
        <v>307</v>
      </c>
      <c r="J1" t="s">
        <v>308</v>
      </c>
      <c r="K1" t="s">
        <v>309</v>
      </c>
      <c r="L1" t="s">
        <v>310</v>
      </c>
      <c r="M1" t="s">
        <v>311</v>
      </c>
      <c r="N1" t="s">
        <v>312</v>
      </c>
      <c r="O1" t="s">
        <v>313</v>
      </c>
      <c r="P1" t="s">
        <v>314</v>
      </c>
      <c r="Q1" t="s">
        <v>315</v>
      </c>
      <c r="R1" t="s">
        <v>316</v>
      </c>
      <c r="S1" t="s">
        <v>317</v>
      </c>
      <c r="T1" t="s">
        <v>318</v>
      </c>
    </row>
    <row r="2" spans="1:20" x14ac:dyDescent="0.25">
      <c r="A2">
        <v>2024</v>
      </c>
      <c r="B2" t="s">
        <v>92</v>
      </c>
      <c r="C2" t="s">
        <v>94</v>
      </c>
      <c r="D2" t="s">
        <v>319</v>
      </c>
      <c r="E2" t="s">
        <v>320</v>
      </c>
      <c r="H2">
        <v>5</v>
      </c>
      <c r="I2">
        <v>5</v>
      </c>
      <c r="J2">
        <v>0</v>
      </c>
      <c r="K2">
        <v>0</v>
      </c>
      <c r="L2">
        <v>84.5</v>
      </c>
      <c r="M2">
        <v>0</v>
      </c>
      <c r="N2" t="s">
        <v>321</v>
      </c>
      <c r="O2" t="s">
        <v>264</v>
      </c>
      <c r="P2" s="23">
        <v>45511</v>
      </c>
      <c r="Q2" s="23">
        <v>45511</v>
      </c>
      <c r="R2">
        <v>1</v>
      </c>
      <c r="S2" t="s">
        <v>322</v>
      </c>
      <c r="T2">
        <v>1</v>
      </c>
    </row>
    <row r="3" spans="1:20" x14ac:dyDescent="0.25">
      <c r="A3">
        <v>2024</v>
      </c>
      <c r="B3" t="s">
        <v>92</v>
      </c>
      <c r="C3" t="s">
        <v>323</v>
      </c>
      <c r="D3" t="s">
        <v>319</v>
      </c>
      <c r="E3" t="s">
        <v>320</v>
      </c>
      <c r="H3">
        <v>0</v>
      </c>
      <c r="I3">
        <v>0</v>
      </c>
      <c r="J3">
        <v>0</v>
      </c>
      <c r="K3">
        <v>0</v>
      </c>
      <c r="L3">
        <v>0</v>
      </c>
      <c r="M3">
        <v>0</v>
      </c>
      <c r="N3" t="s">
        <v>324</v>
      </c>
      <c r="O3" t="s">
        <v>264</v>
      </c>
      <c r="P3" s="23">
        <v>45511</v>
      </c>
      <c r="Q3" s="23">
        <v>45511</v>
      </c>
      <c r="R3">
        <v>1</v>
      </c>
      <c r="S3" t="s">
        <v>322</v>
      </c>
      <c r="T3">
        <v>1</v>
      </c>
    </row>
    <row r="4" spans="1:20" x14ac:dyDescent="0.25">
      <c r="A4">
        <v>2024</v>
      </c>
      <c r="B4" t="s">
        <v>92</v>
      </c>
      <c r="C4" t="s">
        <v>107</v>
      </c>
      <c r="D4" t="s">
        <v>319</v>
      </c>
      <c r="E4" t="s">
        <v>320</v>
      </c>
      <c r="H4">
        <v>2</v>
      </c>
      <c r="I4">
        <v>2</v>
      </c>
      <c r="J4">
        <v>0</v>
      </c>
      <c r="K4">
        <v>0</v>
      </c>
      <c r="L4">
        <v>84.5</v>
      </c>
      <c r="M4">
        <v>0</v>
      </c>
      <c r="N4" t="s">
        <v>321</v>
      </c>
      <c r="O4" t="s">
        <v>264</v>
      </c>
      <c r="P4" s="23">
        <v>45511</v>
      </c>
      <c r="Q4" s="23">
        <v>45511</v>
      </c>
      <c r="R4">
        <v>1</v>
      </c>
      <c r="S4" t="s">
        <v>322</v>
      </c>
      <c r="T4">
        <v>1</v>
      </c>
    </row>
    <row r="5" spans="1:20" x14ac:dyDescent="0.25">
      <c r="A5">
        <v>2024</v>
      </c>
      <c r="B5" t="s">
        <v>92</v>
      </c>
      <c r="C5" t="s">
        <v>325</v>
      </c>
      <c r="D5" t="s">
        <v>319</v>
      </c>
      <c r="E5" t="s">
        <v>320</v>
      </c>
      <c r="H5">
        <v>0</v>
      </c>
      <c r="I5">
        <v>0</v>
      </c>
      <c r="J5">
        <v>0</v>
      </c>
      <c r="K5">
        <v>0</v>
      </c>
      <c r="L5">
        <v>0</v>
      </c>
      <c r="M5">
        <v>0</v>
      </c>
      <c r="N5" t="s">
        <v>326</v>
      </c>
      <c r="O5" t="s">
        <v>264</v>
      </c>
      <c r="P5" s="23">
        <v>45496</v>
      </c>
      <c r="Q5" s="23">
        <v>45516</v>
      </c>
      <c r="R5">
        <v>6</v>
      </c>
      <c r="S5" t="s">
        <v>327</v>
      </c>
      <c r="T5">
        <v>1</v>
      </c>
    </row>
    <row r="6" spans="1:20" x14ac:dyDescent="0.25">
      <c r="A6">
        <v>2024</v>
      </c>
      <c r="B6" t="s">
        <v>92</v>
      </c>
      <c r="C6" t="s">
        <v>112</v>
      </c>
      <c r="D6" t="s">
        <v>319</v>
      </c>
      <c r="E6" t="s">
        <v>320</v>
      </c>
      <c r="F6" t="s">
        <v>328</v>
      </c>
      <c r="G6" t="s">
        <v>329</v>
      </c>
      <c r="H6">
        <v>26</v>
      </c>
      <c r="I6">
        <v>24</v>
      </c>
      <c r="J6">
        <v>1</v>
      </c>
      <c r="K6">
        <v>1</v>
      </c>
      <c r="L6">
        <v>84.5</v>
      </c>
      <c r="M6">
        <v>1</v>
      </c>
      <c r="N6" t="s">
        <v>330</v>
      </c>
      <c r="O6" t="s">
        <v>264</v>
      </c>
      <c r="P6" s="23">
        <v>45496</v>
      </c>
      <c r="Q6" s="23">
        <v>45524</v>
      </c>
      <c r="R6">
        <v>10</v>
      </c>
      <c r="S6" t="s">
        <v>327</v>
      </c>
      <c r="T6">
        <v>1</v>
      </c>
    </row>
    <row r="7" spans="1:20" x14ac:dyDescent="0.25">
      <c r="A7">
        <v>2024</v>
      </c>
      <c r="B7" t="s">
        <v>92</v>
      </c>
      <c r="C7" t="s">
        <v>331</v>
      </c>
      <c r="D7" t="s">
        <v>319</v>
      </c>
      <c r="E7" t="s">
        <v>320</v>
      </c>
      <c r="H7">
        <v>0</v>
      </c>
      <c r="I7">
        <v>0</v>
      </c>
      <c r="J7">
        <v>0</v>
      </c>
      <c r="K7">
        <v>0</v>
      </c>
      <c r="L7">
        <v>0</v>
      </c>
      <c r="M7">
        <v>0</v>
      </c>
      <c r="N7" t="s">
        <v>332</v>
      </c>
      <c r="O7" t="s">
        <v>264</v>
      </c>
      <c r="P7" s="23">
        <v>45496</v>
      </c>
      <c r="Q7" s="23">
        <v>45516</v>
      </c>
      <c r="R7">
        <v>6</v>
      </c>
      <c r="S7" t="s">
        <v>327</v>
      </c>
      <c r="T7">
        <v>1</v>
      </c>
    </row>
    <row r="8" spans="1:20" x14ac:dyDescent="0.25">
      <c r="A8">
        <v>2024</v>
      </c>
      <c r="B8" t="s">
        <v>92</v>
      </c>
      <c r="C8" t="s">
        <v>333</v>
      </c>
      <c r="D8" t="s">
        <v>319</v>
      </c>
      <c r="E8" t="s">
        <v>320</v>
      </c>
      <c r="H8">
        <v>0</v>
      </c>
      <c r="I8">
        <v>0</v>
      </c>
      <c r="J8">
        <v>0</v>
      </c>
      <c r="K8">
        <v>0</v>
      </c>
      <c r="L8">
        <v>0</v>
      </c>
      <c r="M8">
        <v>0</v>
      </c>
      <c r="N8" t="s">
        <v>326</v>
      </c>
      <c r="O8" t="s">
        <v>264</v>
      </c>
      <c r="P8" s="23">
        <v>45496</v>
      </c>
      <c r="Q8" s="23">
        <v>45634</v>
      </c>
      <c r="R8">
        <v>6</v>
      </c>
      <c r="S8" t="s">
        <v>327</v>
      </c>
      <c r="T8">
        <v>1</v>
      </c>
    </row>
    <row r="9" spans="1:20" x14ac:dyDescent="0.25">
      <c r="A9">
        <v>2024</v>
      </c>
      <c r="B9" t="s">
        <v>92</v>
      </c>
      <c r="C9" t="s">
        <v>334</v>
      </c>
      <c r="D9" t="s">
        <v>319</v>
      </c>
      <c r="E9" t="s">
        <v>320</v>
      </c>
      <c r="H9">
        <v>0</v>
      </c>
      <c r="I9">
        <v>0</v>
      </c>
      <c r="J9">
        <v>0</v>
      </c>
      <c r="K9">
        <v>0</v>
      </c>
      <c r="L9">
        <v>0</v>
      </c>
      <c r="M9">
        <v>0</v>
      </c>
      <c r="N9" t="s">
        <v>335</v>
      </c>
      <c r="O9" t="s">
        <v>264</v>
      </c>
      <c r="P9" s="23">
        <v>45496</v>
      </c>
      <c r="Q9" s="23">
        <v>45512</v>
      </c>
      <c r="R9">
        <v>5</v>
      </c>
      <c r="S9" t="s">
        <v>327</v>
      </c>
      <c r="T9">
        <v>1</v>
      </c>
    </row>
    <row r="10" spans="1:20" x14ac:dyDescent="0.25">
      <c r="A10">
        <v>2024</v>
      </c>
      <c r="B10" t="s">
        <v>92</v>
      </c>
      <c r="C10" t="s">
        <v>336</v>
      </c>
      <c r="D10" t="s">
        <v>319</v>
      </c>
      <c r="E10" t="s">
        <v>320</v>
      </c>
      <c r="H10">
        <v>0</v>
      </c>
      <c r="I10">
        <v>0</v>
      </c>
      <c r="J10">
        <v>0</v>
      </c>
      <c r="K10">
        <v>0</v>
      </c>
      <c r="L10">
        <v>0</v>
      </c>
      <c r="M10">
        <v>0</v>
      </c>
      <c r="N10" t="s">
        <v>337</v>
      </c>
      <c r="O10" t="s">
        <v>264</v>
      </c>
      <c r="P10" s="23">
        <v>45504</v>
      </c>
      <c r="Q10" s="23">
        <v>45508</v>
      </c>
      <c r="R10">
        <v>2</v>
      </c>
      <c r="S10" t="s">
        <v>322</v>
      </c>
      <c r="T10">
        <v>1</v>
      </c>
    </row>
    <row r="11" spans="1:20" x14ac:dyDescent="0.25">
      <c r="A11">
        <v>2024</v>
      </c>
      <c r="B11" t="s">
        <v>92</v>
      </c>
      <c r="C11" t="s">
        <v>338</v>
      </c>
      <c r="D11" t="s">
        <v>319</v>
      </c>
      <c r="E11" t="s">
        <v>320</v>
      </c>
      <c r="H11">
        <v>0</v>
      </c>
      <c r="I11">
        <v>0</v>
      </c>
      <c r="J11">
        <v>0</v>
      </c>
      <c r="K11">
        <v>0</v>
      </c>
      <c r="L11">
        <v>0</v>
      </c>
      <c r="M11">
        <v>0</v>
      </c>
      <c r="N11" t="s">
        <v>326</v>
      </c>
      <c r="O11" t="s">
        <v>264</v>
      </c>
      <c r="P11" s="23">
        <v>45495</v>
      </c>
      <c r="Q11" s="23">
        <v>45515</v>
      </c>
      <c r="R11">
        <v>6</v>
      </c>
      <c r="S11" t="s">
        <v>327</v>
      </c>
      <c r="T11">
        <v>1</v>
      </c>
    </row>
    <row r="12" spans="1:20" x14ac:dyDescent="0.25">
      <c r="A12">
        <v>2024</v>
      </c>
      <c r="B12" t="s">
        <v>92</v>
      </c>
      <c r="C12" t="s">
        <v>339</v>
      </c>
      <c r="D12" t="s">
        <v>319</v>
      </c>
      <c r="E12" t="s">
        <v>320</v>
      </c>
      <c r="H12">
        <v>0</v>
      </c>
      <c r="I12">
        <v>0</v>
      </c>
      <c r="J12">
        <v>0</v>
      </c>
      <c r="K12">
        <v>0</v>
      </c>
      <c r="L12">
        <v>0</v>
      </c>
      <c r="M12">
        <v>0</v>
      </c>
      <c r="N12" t="s">
        <v>326</v>
      </c>
      <c r="O12" t="s">
        <v>264</v>
      </c>
      <c r="P12" s="23">
        <v>45495</v>
      </c>
      <c r="Q12" s="23">
        <v>45515</v>
      </c>
      <c r="R12">
        <v>6</v>
      </c>
      <c r="S12" t="s">
        <v>327</v>
      </c>
      <c r="T12">
        <v>1</v>
      </c>
    </row>
    <row r="13" spans="1:20" x14ac:dyDescent="0.25">
      <c r="A13">
        <v>2024</v>
      </c>
      <c r="B13" t="s">
        <v>92</v>
      </c>
      <c r="C13" t="s">
        <v>340</v>
      </c>
      <c r="D13" t="s">
        <v>319</v>
      </c>
      <c r="E13" t="s">
        <v>320</v>
      </c>
      <c r="H13">
        <v>0</v>
      </c>
      <c r="I13">
        <v>0</v>
      </c>
      <c r="J13">
        <v>0</v>
      </c>
      <c r="K13">
        <v>0</v>
      </c>
      <c r="L13">
        <v>0</v>
      </c>
      <c r="M13">
        <v>0</v>
      </c>
      <c r="N13" t="s">
        <v>326</v>
      </c>
      <c r="O13" t="s">
        <v>264</v>
      </c>
      <c r="P13" s="23">
        <v>45495</v>
      </c>
      <c r="Q13" s="23">
        <v>45515</v>
      </c>
      <c r="R13">
        <v>6</v>
      </c>
      <c r="S13" t="s">
        <v>327</v>
      </c>
      <c r="T13">
        <v>1</v>
      </c>
    </row>
    <row r="14" spans="1:20" x14ac:dyDescent="0.25">
      <c r="A14">
        <v>2024</v>
      </c>
      <c r="B14" t="s">
        <v>92</v>
      </c>
      <c r="C14" t="s">
        <v>341</v>
      </c>
      <c r="D14" t="s">
        <v>319</v>
      </c>
      <c r="E14" t="s">
        <v>320</v>
      </c>
      <c r="H14">
        <v>0</v>
      </c>
      <c r="I14">
        <v>0</v>
      </c>
      <c r="J14">
        <v>0</v>
      </c>
      <c r="K14">
        <v>0</v>
      </c>
      <c r="L14">
        <v>0</v>
      </c>
      <c r="M14">
        <v>0</v>
      </c>
      <c r="N14" t="s">
        <v>326</v>
      </c>
      <c r="O14" t="s">
        <v>264</v>
      </c>
      <c r="P14" s="23">
        <v>45495</v>
      </c>
      <c r="Q14" s="23">
        <v>45515</v>
      </c>
      <c r="R14">
        <v>6</v>
      </c>
      <c r="S14" t="s">
        <v>327</v>
      </c>
      <c r="T14">
        <v>1</v>
      </c>
    </row>
    <row r="15" spans="1:20" x14ac:dyDescent="0.25">
      <c r="A15">
        <v>2024</v>
      </c>
      <c r="B15" t="s">
        <v>92</v>
      </c>
      <c r="C15" t="s">
        <v>120</v>
      </c>
      <c r="D15" t="s">
        <v>319</v>
      </c>
      <c r="E15" t="s">
        <v>320</v>
      </c>
      <c r="F15" t="s">
        <v>328</v>
      </c>
      <c r="H15">
        <v>10</v>
      </c>
      <c r="I15">
        <v>8</v>
      </c>
      <c r="J15">
        <v>1</v>
      </c>
      <c r="K15">
        <v>1</v>
      </c>
      <c r="L15">
        <v>84.5</v>
      </c>
      <c r="M15">
        <v>1</v>
      </c>
      <c r="N15" t="s">
        <v>342</v>
      </c>
      <c r="O15" t="s">
        <v>264</v>
      </c>
      <c r="P15" s="23">
        <v>45495</v>
      </c>
      <c r="Q15" s="23">
        <v>45524</v>
      </c>
      <c r="R15">
        <v>10</v>
      </c>
      <c r="S15" t="s">
        <v>322</v>
      </c>
      <c r="T15">
        <v>1</v>
      </c>
    </row>
    <row r="16" spans="1:20" x14ac:dyDescent="0.25">
      <c r="A16">
        <v>2024</v>
      </c>
      <c r="B16" t="s">
        <v>92</v>
      </c>
      <c r="C16" t="s">
        <v>123</v>
      </c>
      <c r="D16" t="s">
        <v>319</v>
      </c>
      <c r="E16" t="s">
        <v>320</v>
      </c>
      <c r="F16" t="s">
        <v>343</v>
      </c>
      <c r="H16">
        <v>12</v>
      </c>
      <c r="I16">
        <v>10</v>
      </c>
      <c r="J16">
        <v>1</v>
      </c>
      <c r="K16">
        <v>1</v>
      </c>
      <c r="L16">
        <v>84.5</v>
      </c>
      <c r="M16">
        <v>1</v>
      </c>
      <c r="N16" t="s">
        <v>344</v>
      </c>
      <c r="O16" t="s">
        <v>264</v>
      </c>
      <c r="P16" s="23">
        <v>45495</v>
      </c>
      <c r="Q16" s="23">
        <v>45524</v>
      </c>
      <c r="R16">
        <v>10</v>
      </c>
      <c r="S16" t="s">
        <v>327</v>
      </c>
      <c r="T16">
        <v>1</v>
      </c>
    </row>
    <row r="17" spans="1:20" x14ac:dyDescent="0.25">
      <c r="A17">
        <v>2024</v>
      </c>
      <c r="B17" t="s">
        <v>92</v>
      </c>
      <c r="C17" t="s">
        <v>345</v>
      </c>
      <c r="D17" t="s">
        <v>319</v>
      </c>
      <c r="E17" t="s">
        <v>320</v>
      </c>
      <c r="H17">
        <v>0</v>
      </c>
      <c r="I17">
        <v>0</v>
      </c>
      <c r="J17">
        <v>0</v>
      </c>
      <c r="K17">
        <v>0</v>
      </c>
      <c r="L17">
        <v>0</v>
      </c>
      <c r="M17">
        <v>0</v>
      </c>
      <c r="N17" t="s">
        <v>346</v>
      </c>
      <c r="O17" t="s">
        <v>264</v>
      </c>
      <c r="P17" s="23">
        <v>45495</v>
      </c>
      <c r="Q17" s="23">
        <v>45515</v>
      </c>
      <c r="R17">
        <v>6</v>
      </c>
      <c r="S17" t="s">
        <v>327</v>
      </c>
      <c r="T17">
        <v>1</v>
      </c>
    </row>
    <row r="18" spans="1:20" x14ac:dyDescent="0.25">
      <c r="A18">
        <v>2024</v>
      </c>
      <c r="B18" t="s">
        <v>92</v>
      </c>
      <c r="C18" t="s">
        <v>347</v>
      </c>
      <c r="D18" t="s">
        <v>319</v>
      </c>
      <c r="E18" t="s">
        <v>320</v>
      </c>
      <c r="H18">
        <v>0</v>
      </c>
      <c r="I18">
        <v>0</v>
      </c>
      <c r="J18">
        <v>0</v>
      </c>
      <c r="K18">
        <v>0</v>
      </c>
      <c r="L18">
        <v>0</v>
      </c>
      <c r="M18">
        <v>0</v>
      </c>
      <c r="N18" t="s">
        <v>326</v>
      </c>
      <c r="O18" t="s">
        <v>264</v>
      </c>
      <c r="P18" s="23">
        <v>45495</v>
      </c>
      <c r="Q18" s="23">
        <v>45515</v>
      </c>
      <c r="R18">
        <v>6</v>
      </c>
      <c r="S18" t="s">
        <v>322</v>
      </c>
      <c r="T18">
        <v>1</v>
      </c>
    </row>
    <row r="19" spans="1:20" x14ac:dyDescent="0.25">
      <c r="A19">
        <v>2024</v>
      </c>
      <c r="B19" t="s">
        <v>92</v>
      </c>
      <c r="C19" t="s">
        <v>348</v>
      </c>
      <c r="D19" t="s">
        <v>319</v>
      </c>
      <c r="E19" t="s">
        <v>320</v>
      </c>
      <c r="H19">
        <v>0</v>
      </c>
      <c r="I19">
        <v>0</v>
      </c>
      <c r="J19">
        <v>0</v>
      </c>
      <c r="K19">
        <v>0</v>
      </c>
      <c r="L19">
        <v>0</v>
      </c>
      <c r="M19">
        <v>0</v>
      </c>
      <c r="N19" t="s">
        <v>326</v>
      </c>
      <c r="O19" t="s">
        <v>264</v>
      </c>
      <c r="P19" s="23">
        <v>45495</v>
      </c>
      <c r="Q19" s="23">
        <v>45515</v>
      </c>
      <c r="R19">
        <v>6</v>
      </c>
      <c r="S19" t="s">
        <v>327</v>
      </c>
      <c r="T19">
        <v>1</v>
      </c>
    </row>
    <row r="20" spans="1:20" x14ac:dyDescent="0.25">
      <c r="A20">
        <v>2024</v>
      </c>
      <c r="B20" t="s">
        <v>92</v>
      </c>
      <c r="C20" t="s">
        <v>349</v>
      </c>
      <c r="D20" t="s">
        <v>319</v>
      </c>
      <c r="E20" t="s">
        <v>320</v>
      </c>
      <c r="H20">
        <v>0</v>
      </c>
      <c r="I20">
        <v>0</v>
      </c>
      <c r="J20">
        <v>0</v>
      </c>
      <c r="K20">
        <v>0</v>
      </c>
      <c r="L20">
        <v>0</v>
      </c>
      <c r="M20">
        <v>0</v>
      </c>
      <c r="N20" t="s">
        <v>326</v>
      </c>
      <c r="O20" t="s">
        <v>264</v>
      </c>
      <c r="P20" s="23">
        <v>45495</v>
      </c>
      <c r="Q20" s="23">
        <v>45518</v>
      </c>
      <c r="R20">
        <v>6</v>
      </c>
      <c r="S20" t="s">
        <v>327</v>
      </c>
      <c r="T20">
        <v>1</v>
      </c>
    </row>
    <row r="21" spans="1:20" x14ac:dyDescent="0.25">
      <c r="A21">
        <v>2024</v>
      </c>
      <c r="B21" t="s">
        <v>92</v>
      </c>
      <c r="C21" t="s">
        <v>350</v>
      </c>
      <c r="D21" t="s">
        <v>319</v>
      </c>
      <c r="E21" t="s">
        <v>320</v>
      </c>
      <c r="H21">
        <v>0</v>
      </c>
      <c r="I21">
        <v>0</v>
      </c>
      <c r="J21">
        <v>0</v>
      </c>
      <c r="K21">
        <v>0</v>
      </c>
      <c r="L21">
        <v>0</v>
      </c>
      <c r="M21">
        <v>0</v>
      </c>
      <c r="N21" t="s">
        <v>335</v>
      </c>
      <c r="O21" t="s">
        <v>264</v>
      </c>
      <c r="P21" s="23">
        <v>45495</v>
      </c>
      <c r="Q21" s="23">
        <v>45511</v>
      </c>
      <c r="R21">
        <v>5</v>
      </c>
      <c r="S21" t="s">
        <v>327</v>
      </c>
      <c r="T21">
        <v>1</v>
      </c>
    </row>
    <row r="22" spans="1:20" x14ac:dyDescent="0.25">
      <c r="A22">
        <v>2024</v>
      </c>
      <c r="B22" t="s">
        <v>92</v>
      </c>
      <c r="C22" t="s">
        <v>351</v>
      </c>
      <c r="D22" t="s">
        <v>319</v>
      </c>
      <c r="E22" t="s">
        <v>320</v>
      </c>
      <c r="H22">
        <v>0</v>
      </c>
      <c r="I22">
        <v>0</v>
      </c>
      <c r="J22">
        <v>0</v>
      </c>
      <c r="K22">
        <v>0</v>
      </c>
      <c r="L22">
        <v>0</v>
      </c>
      <c r="M22">
        <v>0</v>
      </c>
      <c r="N22" t="s">
        <v>352</v>
      </c>
      <c r="O22" t="s">
        <v>264</v>
      </c>
      <c r="P22" s="23">
        <v>45497</v>
      </c>
      <c r="Q22" s="23">
        <v>45497</v>
      </c>
      <c r="R22">
        <v>1</v>
      </c>
      <c r="S22" t="s">
        <v>353</v>
      </c>
      <c r="T22">
        <v>1</v>
      </c>
    </row>
    <row r="23" spans="1:20" x14ac:dyDescent="0.25">
      <c r="A23">
        <v>2024</v>
      </c>
      <c r="B23" t="s">
        <v>92</v>
      </c>
      <c r="C23" t="s">
        <v>354</v>
      </c>
      <c r="D23" t="s">
        <v>319</v>
      </c>
      <c r="E23" t="s">
        <v>320</v>
      </c>
      <c r="H23">
        <v>0</v>
      </c>
      <c r="I23">
        <v>0</v>
      </c>
      <c r="J23">
        <v>0</v>
      </c>
      <c r="K23">
        <v>0</v>
      </c>
      <c r="L23">
        <v>0</v>
      </c>
      <c r="M23">
        <v>0</v>
      </c>
      <c r="N23" t="s">
        <v>326</v>
      </c>
      <c r="O23" t="s">
        <v>264</v>
      </c>
      <c r="P23" s="23">
        <v>45494</v>
      </c>
      <c r="Q23" s="23">
        <v>45514</v>
      </c>
      <c r="R23">
        <v>6</v>
      </c>
      <c r="S23" t="s">
        <v>327</v>
      </c>
      <c r="T23">
        <v>1</v>
      </c>
    </row>
    <row r="24" spans="1:20" x14ac:dyDescent="0.25">
      <c r="A24">
        <v>2024</v>
      </c>
      <c r="B24" t="s">
        <v>92</v>
      </c>
      <c r="C24" t="s">
        <v>127</v>
      </c>
      <c r="D24" t="s">
        <v>319</v>
      </c>
      <c r="E24" t="s">
        <v>320</v>
      </c>
      <c r="F24" t="s">
        <v>343</v>
      </c>
      <c r="H24">
        <v>20</v>
      </c>
      <c r="I24">
        <v>18</v>
      </c>
      <c r="J24">
        <v>1</v>
      </c>
      <c r="K24">
        <v>1</v>
      </c>
      <c r="L24">
        <v>84.5</v>
      </c>
      <c r="M24">
        <v>1</v>
      </c>
      <c r="N24" t="s">
        <v>355</v>
      </c>
      <c r="O24" t="s">
        <v>264</v>
      </c>
      <c r="P24" s="23">
        <v>45496</v>
      </c>
      <c r="Q24" s="23">
        <v>45524</v>
      </c>
      <c r="R24">
        <v>10</v>
      </c>
      <c r="S24" t="s">
        <v>327</v>
      </c>
      <c r="T24">
        <v>1</v>
      </c>
    </row>
    <row r="25" spans="1:20" x14ac:dyDescent="0.25">
      <c r="A25">
        <v>2024</v>
      </c>
      <c r="B25" t="s">
        <v>92</v>
      </c>
      <c r="C25" t="s">
        <v>356</v>
      </c>
      <c r="D25" t="s">
        <v>319</v>
      </c>
      <c r="E25" t="s">
        <v>320</v>
      </c>
      <c r="H25">
        <v>0</v>
      </c>
      <c r="I25">
        <v>0</v>
      </c>
      <c r="J25">
        <v>0</v>
      </c>
      <c r="K25">
        <v>0</v>
      </c>
      <c r="L25">
        <v>0</v>
      </c>
      <c r="M25">
        <v>0</v>
      </c>
      <c r="N25" t="s">
        <v>335</v>
      </c>
      <c r="O25" t="s">
        <v>264</v>
      </c>
      <c r="P25" s="23">
        <v>45495</v>
      </c>
      <c r="Q25" s="23">
        <v>45511</v>
      </c>
      <c r="R25">
        <v>5</v>
      </c>
      <c r="S25" t="s">
        <v>327</v>
      </c>
      <c r="T25">
        <v>1</v>
      </c>
    </row>
    <row r="26" spans="1:20" x14ac:dyDescent="0.25">
      <c r="A26">
        <v>2024</v>
      </c>
      <c r="B26" t="s">
        <v>92</v>
      </c>
      <c r="C26" t="s">
        <v>357</v>
      </c>
      <c r="D26" t="s">
        <v>319</v>
      </c>
      <c r="E26" t="s">
        <v>320</v>
      </c>
      <c r="H26">
        <v>0</v>
      </c>
      <c r="I26">
        <v>0</v>
      </c>
      <c r="J26">
        <v>0</v>
      </c>
      <c r="K26">
        <v>0</v>
      </c>
      <c r="L26">
        <v>0</v>
      </c>
      <c r="M26">
        <v>0</v>
      </c>
      <c r="N26" t="s">
        <v>358</v>
      </c>
      <c r="O26" t="s">
        <v>264</v>
      </c>
      <c r="P26" s="23">
        <v>45495</v>
      </c>
      <c r="Q26" s="23">
        <v>45511</v>
      </c>
      <c r="R26">
        <v>5</v>
      </c>
      <c r="S26" t="s">
        <v>327</v>
      </c>
      <c r="T26">
        <v>1</v>
      </c>
    </row>
    <row r="27" spans="1:20" x14ac:dyDescent="0.25">
      <c r="A27">
        <v>2024</v>
      </c>
      <c r="B27" t="s">
        <v>92</v>
      </c>
      <c r="C27" t="s">
        <v>359</v>
      </c>
      <c r="D27" t="s">
        <v>319</v>
      </c>
      <c r="E27" t="s">
        <v>320</v>
      </c>
      <c r="H27">
        <v>0</v>
      </c>
      <c r="I27">
        <v>0</v>
      </c>
      <c r="J27">
        <v>0</v>
      </c>
      <c r="K27">
        <v>0</v>
      </c>
      <c r="L27">
        <v>0</v>
      </c>
      <c r="M27">
        <v>0</v>
      </c>
      <c r="N27" t="s">
        <v>360</v>
      </c>
      <c r="O27" t="s">
        <v>264</v>
      </c>
      <c r="P27" s="23">
        <v>45494</v>
      </c>
      <c r="Q27" s="23">
        <v>45510</v>
      </c>
      <c r="R27">
        <v>5</v>
      </c>
      <c r="S27" t="s">
        <v>327</v>
      </c>
      <c r="T27">
        <v>1</v>
      </c>
    </row>
    <row r="28" spans="1:20" x14ac:dyDescent="0.25">
      <c r="A28">
        <v>2024</v>
      </c>
      <c r="B28" t="s">
        <v>92</v>
      </c>
      <c r="C28" t="s">
        <v>132</v>
      </c>
      <c r="D28" t="s">
        <v>319</v>
      </c>
      <c r="E28" t="s">
        <v>320</v>
      </c>
      <c r="F28" t="s">
        <v>361</v>
      </c>
      <c r="H28">
        <v>27</v>
      </c>
      <c r="I28">
        <v>25</v>
      </c>
      <c r="J28">
        <v>1</v>
      </c>
      <c r="K28">
        <v>1</v>
      </c>
      <c r="L28">
        <v>84.5</v>
      </c>
      <c r="M28">
        <v>1</v>
      </c>
      <c r="N28" t="s">
        <v>362</v>
      </c>
      <c r="O28" t="s">
        <v>264</v>
      </c>
      <c r="P28" s="23">
        <v>45493</v>
      </c>
      <c r="Q28" s="23">
        <v>45525</v>
      </c>
      <c r="R28">
        <v>11</v>
      </c>
      <c r="S28" t="s">
        <v>327</v>
      </c>
      <c r="T28">
        <v>1</v>
      </c>
    </row>
    <row r="29" spans="1:20" x14ac:dyDescent="0.25">
      <c r="A29">
        <v>2024</v>
      </c>
      <c r="B29" t="s">
        <v>92</v>
      </c>
      <c r="C29" t="s">
        <v>216</v>
      </c>
      <c r="D29" t="s">
        <v>319</v>
      </c>
      <c r="E29" t="s">
        <v>320</v>
      </c>
      <c r="H29">
        <v>0</v>
      </c>
      <c r="I29">
        <v>0</v>
      </c>
      <c r="J29">
        <v>0</v>
      </c>
      <c r="K29">
        <v>0</v>
      </c>
      <c r="L29">
        <v>0</v>
      </c>
      <c r="M29">
        <v>0</v>
      </c>
      <c r="N29" t="s">
        <v>326</v>
      </c>
      <c r="O29" t="s">
        <v>264</v>
      </c>
      <c r="P29" s="23">
        <v>45494</v>
      </c>
      <c r="Q29" s="23">
        <v>45514</v>
      </c>
      <c r="R29">
        <v>6</v>
      </c>
      <c r="S29" t="s">
        <v>327</v>
      </c>
      <c r="T29">
        <v>1</v>
      </c>
    </row>
    <row r="30" spans="1:20" x14ac:dyDescent="0.25">
      <c r="A30">
        <v>2024</v>
      </c>
      <c r="B30" t="s">
        <v>92</v>
      </c>
      <c r="C30" t="s">
        <v>363</v>
      </c>
      <c r="D30" t="s">
        <v>319</v>
      </c>
      <c r="E30" t="s">
        <v>320</v>
      </c>
      <c r="H30">
        <v>0</v>
      </c>
      <c r="I30">
        <v>0</v>
      </c>
      <c r="J30">
        <v>0</v>
      </c>
      <c r="K30">
        <v>0</v>
      </c>
      <c r="L30">
        <v>0</v>
      </c>
      <c r="M30">
        <v>0</v>
      </c>
      <c r="N30" t="s">
        <v>326</v>
      </c>
      <c r="O30" t="s">
        <v>264</v>
      </c>
      <c r="P30" s="23">
        <v>45494</v>
      </c>
      <c r="Q30" s="23">
        <v>45523</v>
      </c>
      <c r="R30">
        <v>6</v>
      </c>
      <c r="S30" t="s">
        <v>327</v>
      </c>
      <c r="T30">
        <v>1</v>
      </c>
    </row>
    <row r="31" spans="1:20" x14ac:dyDescent="0.25">
      <c r="A31">
        <v>2024</v>
      </c>
      <c r="B31" t="s">
        <v>92</v>
      </c>
      <c r="C31" t="s">
        <v>134</v>
      </c>
      <c r="D31" t="s">
        <v>319</v>
      </c>
      <c r="E31" t="s">
        <v>320</v>
      </c>
      <c r="H31">
        <v>3</v>
      </c>
      <c r="I31">
        <v>3</v>
      </c>
      <c r="J31">
        <v>0</v>
      </c>
      <c r="K31">
        <v>0</v>
      </c>
      <c r="L31">
        <v>0</v>
      </c>
      <c r="M31">
        <v>0</v>
      </c>
      <c r="N31" t="s">
        <v>364</v>
      </c>
      <c r="O31" t="s">
        <v>264</v>
      </c>
      <c r="P31" s="23">
        <v>45493</v>
      </c>
      <c r="Q31" s="23">
        <v>45523</v>
      </c>
      <c r="R31">
        <v>10</v>
      </c>
      <c r="S31" t="s">
        <v>327</v>
      </c>
      <c r="T31">
        <v>1</v>
      </c>
    </row>
    <row r="32" spans="1:20" x14ac:dyDescent="0.25">
      <c r="A32">
        <v>2024</v>
      </c>
      <c r="B32" t="s">
        <v>92</v>
      </c>
      <c r="C32" t="s">
        <v>136</v>
      </c>
      <c r="D32" t="s">
        <v>319</v>
      </c>
      <c r="E32" t="s">
        <v>320</v>
      </c>
      <c r="F32" t="s">
        <v>365</v>
      </c>
      <c r="H32">
        <v>18</v>
      </c>
      <c r="I32">
        <v>16</v>
      </c>
      <c r="J32">
        <v>1</v>
      </c>
      <c r="K32">
        <v>1</v>
      </c>
      <c r="L32">
        <v>84.5</v>
      </c>
      <c r="M32">
        <v>1</v>
      </c>
      <c r="N32" t="s">
        <v>366</v>
      </c>
      <c r="O32" t="s">
        <v>264</v>
      </c>
      <c r="P32" s="23">
        <v>45493</v>
      </c>
      <c r="Q32" s="23">
        <v>45525</v>
      </c>
      <c r="R32">
        <v>11</v>
      </c>
      <c r="S32" t="s">
        <v>327</v>
      </c>
      <c r="T32">
        <v>1</v>
      </c>
    </row>
    <row r="33" spans="1:20" x14ac:dyDescent="0.25">
      <c r="A33">
        <v>2024</v>
      </c>
      <c r="B33" t="s">
        <v>92</v>
      </c>
      <c r="C33" t="s">
        <v>138</v>
      </c>
      <c r="D33" t="s">
        <v>319</v>
      </c>
      <c r="E33" t="s">
        <v>320</v>
      </c>
      <c r="H33">
        <v>5</v>
      </c>
      <c r="I33">
        <v>5</v>
      </c>
      <c r="J33">
        <v>0</v>
      </c>
      <c r="K33">
        <v>0</v>
      </c>
      <c r="L33">
        <v>84.5</v>
      </c>
      <c r="M33">
        <v>0</v>
      </c>
      <c r="N33" t="s">
        <v>367</v>
      </c>
      <c r="O33" t="s">
        <v>264</v>
      </c>
      <c r="P33" s="23">
        <v>45494</v>
      </c>
      <c r="Q33" s="23">
        <v>45521</v>
      </c>
      <c r="R33">
        <v>7</v>
      </c>
      <c r="S33" t="s">
        <v>327</v>
      </c>
      <c r="T33">
        <v>1</v>
      </c>
    </row>
    <row r="34" spans="1:20" x14ac:dyDescent="0.25">
      <c r="A34">
        <v>2024</v>
      </c>
      <c r="B34" t="s">
        <v>92</v>
      </c>
      <c r="C34" t="s">
        <v>140</v>
      </c>
      <c r="D34" t="s">
        <v>319</v>
      </c>
      <c r="E34" t="s">
        <v>320</v>
      </c>
      <c r="F34" t="s">
        <v>368</v>
      </c>
      <c r="H34">
        <v>228</v>
      </c>
      <c r="I34">
        <v>214</v>
      </c>
      <c r="J34">
        <v>0</v>
      </c>
      <c r="K34">
        <v>14</v>
      </c>
      <c r="L34">
        <v>84.5</v>
      </c>
      <c r="M34">
        <v>12</v>
      </c>
      <c r="N34" t="s">
        <v>369</v>
      </c>
      <c r="O34" t="s">
        <v>264</v>
      </c>
      <c r="P34" s="23">
        <v>45494</v>
      </c>
      <c r="Q34" s="23">
        <v>45528</v>
      </c>
      <c r="R34">
        <v>12</v>
      </c>
      <c r="S34" t="s">
        <v>327</v>
      </c>
      <c r="T34">
        <v>1</v>
      </c>
    </row>
    <row r="35" spans="1:20" x14ac:dyDescent="0.25">
      <c r="A35">
        <v>2024</v>
      </c>
      <c r="B35" t="s">
        <v>164</v>
      </c>
      <c r="C35" t="s">
        <v>370</v>
      </c>
      <c r="D35" t="s">
        <v>371</v>
      </c>
      <c r="E35" t="s">
        <v>372</v>
      </c>
      <c r="H35">
        <v>153</v>
      </c>
      <c r="I35">
        <v>0</v>
      </c>
      <c r="J35">
        <v>56</v>
      </c>
      <c r="K35">
        <v>97</v>
      </c>
      <c r="L35">
        <v>77.27</v>
      </c>
      <c r="M35">
        <v>75</v>
      </c>
      <c r="N35" t="s">
        <v>373</v>
      </c>
      <c r="O35" t="s">
        <v>374</v>
      </c>
      <c r="P35" s="23">
        <v>45524</v>
      </c>
      <c r="Q35" s="23">
        <v>45542</v>
      </c>
      <c r="R35">
        <v>3</v>
      </c>
      <c r="S35" t="s">
        <v>327</v>
      </c>
      <c r="T35">
        <v>23</v>
      </c>
    </row>
    <row r="36" spans="1:20" x14ac:dyDescent="0.25">
      <c r="A36">
        <v>2024</v>
      </c>
      <c r="B36" t="s">
        <v>164</v>
      </c>
      <c r="C36" t="s">
        <v>375</v>
      </c>
      <c r="D36" t="s">
        <v>371</v>
      </c>
      <c r="E36" t="s">
        <v>372</v>
      </c>
      <c r="F36" t="s">
        <v>376</v>
      </c>
      <c r="H36">
        <v>26036</v>
      </c>
      <c r="I36">
        <v>0</v>
      </c>
      <c r="J36">
        <v>9465</v>
      </c>
      <c r="K36">
        <v>16571</v>
      </c>
      <c r="L36">
        <v>77.3</v>
      </c>
      <c r="M36">
        <v>12809</v>
      </c>
      <c r="N36" t="s">
        <v>377</v>
      </c>
      <c r="O36" t="s">
        <v>378</v>
      </c>
      <c r="P36" s="23">
        <v>45483</v>
      </c>
      <c r="Q36" s="23">
        <v>45544</v>
      </c>
      <c r="R36">
        <v>57</v>
      </c>
      <c r="S36" t="s">
        <v>379</v>
      </c>
      <c r="T36">
        <v>23</v>
      </c>
    </row>
    <row r="37" spans="1:20" x14ac:dyDescent="0.25">
      <c r="A37">
        <v>2024</v>
      </c>
      <c r="B37" t="s">
        <v>164</v>
      </c>
      <c r="C37" t="s">
        <v>187</v>
      </c>
      <c r="D37" t="s">
        <v>371</v>
      </c>
      <c r="E37" t="s">
        <v>372</v>
      </c>
      <c r="F37" t="s">
        <v>380</v>
      </c>
      <c r="H37">
        <v>56</v>
      </c>
      <c r="I37">
        <v>0</v>
      </c>
      <c r="J37">
        <v>20</v>
      </c>
      <c r="K37">
        <v>36</v>
      </c>
      <c r="L37">
        <v>77.27</v>
      </c>
      <c r="M37">
        <v>28</v>
      </c>
      <c r="N37" t="s">
        <v>381</v>
      </c>
      <c r="O37" t="s">
        <v>264</v>
      </c>
      <c r="P37" s="23">
        <v>45512</v>
      </c>
      <c r="Q37" s="23">
        <v>45519</v>
      </c>
      <c r="R37">
        <v>5</v>
      </c>
      <c r="S37" t="s">
        <v>327</v>
      </c>
      <c r="T37">
        <v>23</v>
      </c>
    </row>
    <row r="38" spans="1:20" x14ac:dyDescent="0.25">
      <c r="A38">
        <v>2024</v>
      </c>
      <c r="B38" t="s">
        <v>164</v>
      </c>
      <c r="C38" t="s">
        <v>189</v>
      </c>
      <c r="D38" t="s">
        <v>371</v>
      </c>
      <c r="E38" t="s">
        <v>372</v>
      </c>
      <c r="F38" t="s">
        <v>382</v>
      </c>
      <c r="G38" t="s">
        <v>383</v>
      </c>
      <c r="H38">
        <v>7</v>
      </c>
      <c r="I38">
        <v>0</v>
      </c>
      <c r="J38">
        <v>2</v>
      </c>
      <c r="K38">
        <v>5</v>
      </c>
      <c r="L38">
        <v>77.27</v>
      </c>
      <c r="M38">
        <v>4</v>
      </c>
      <c r="N38" t="s">
        <v>384</v>
      </c>
      <c r="O38" t="s">
        <v>264</v>
      </c>
      <c r="P38" s="23">
        <v>45512</v>
      </c>
      <c r="Q38" s="23">
        <v>45540</v>
      </c>
      <c r="R38">
        <v>5</v>
      </c>
      <c r="S38" t="s">
        <v>327</v>
      </c>
      <c r="T38">
        <v>23</v>
      </c>
    </row>
    <row r="39" spans="1:20" x14ac:dyDescent="0.25">
      <c r="A39">
        <v>2024</v>
      </c>
      <c r="B39" t="s">
        <v>164</v>
      </c>
      <c r="C39" t="s">
        <v>385</v>
      </c>
      <c r="D39" t="s">
        <v>371</v>
      </c>
      <c r="E39" t="s">
        <v>386</v>
      </c>
      <c r="H39">
        <v>335</v>
      </c>
      <c r="I39">
        <v>7</v>
      </c>
      <c r="J39">
        <v>167</v>
      </c>
      <c r="K39">
        <v>161</v>
      </c>
      <c r="L39">
        <v>96.67</v>
      </c>
      <c r="M39">
        <v>156</v>
      </c>
      <c r="N39" t="s">
        <v>387</v>
      </c>
      <c r="O39" t="s">
        <v>374</v>
      </c>
      <c r="P39" s="23">
        <v>45530</v>
      </c>
      <c r="Q39" s="23">
        <v>45551</v>
      </c>
      <c r="R39">
        <v>4</v>
      </c>
      <c r="S39" t="s">
        <v>322</v>
      </c>
      <c r="T39">
        <v>24</v>
      </c>
    </row>
    <row r="40" spans="1:20" x14ac:dyDescent="0.25">
      <c r="A40">
        <v>2024</v>
      </c>
      <c r="B40" t="s">
        <v>164</v>
      </c>
      <c r="C40" t="s">
        <v>171</v>
      </c>
      <c r="D40" t="s">
        <v>371</v>
      </c>
      <c r="E40" t="s">
        <v>386</v>
      </c>
      <c r="F40" t="s">
        <v>388</v>
      </c>
      <c r="H40">
        <v>1528</v>
      </c>
      <c r="I40">
        <v>0</v>
      </c>
      <c r="J40">
        <v>712</v>
      </c>
      <c r="K40">
        <v>816</v>
      </c>
      <c r="L40">
        <v>91.54</v>
      </c>
      <c r="M40">
        <v>747</v>
      </c>
      <c r="N40" t="s">
        <v>389</v>
      </c>
      <c r="O40" t="s">
        <v>264</v>
      </c>
      <c r="P40" s="23">
        <v>45530</v>
      </c>
      <c r="Q40" s="23">
        <v>45551</v>
      </c>
      <c r="R40">
        <v>4</v>
      </c>
      <c r="S40" t="s">
        <v>322</v>
      </c>
      <c r="T40">
        <v>24</v>
      </c>
    </row>
    <row r="41" spans="1:20" x14ac:dyDescent="0.25">
      <c r="A41">
        <v>2024</v>
      </c>
      <c r="B41" t="s">
        <v>164</v>
      </c>
      <c r="C41" t="s">
        <v>390</v>
      </c>
      <c r="D41" t="s">
        <v>371</v>
      </c>
      <c r="E41" t="s">
        <v>391</v>
      </c>
      <c r="H41">
        <v>0</v>
      </c>
      <c r="I41">
        <v>0</v>
      </c>
      <c r="J41">
        <v>0</v>
      </c>
      <c r="K41">
        <v>0</v>
      </c>
      <c r="L41">
        <v>0</v>
      </c>
      <c r="M41">
        <v>0</v>
      </c>
      <c r="N41" t="s">
        <v>392</v>
      </c>
      <c r="O41" t="s">
        <v>264</v>
      </c>
      <c r="P41" s="23">
        <v>45533</v>
      </c>
      <c r="Q41" s="23">
        <v>45540</v>
      </c>
      <c r="R41">
        <v>2</v>
      </c>
      <c r="S41" t="s">
        <v>322</v>
      </c>
      <c r="T41">
        <v>18</v>
      </c>
    </row>
    <row r="42" spans="1:20" x14ac:dyDescent="0.25">
      <c r="A42">
        <v>2024</v>
      </c>
      <c r="B42" t="s">
        <v>164</v>
      </c>
      <c r="C42" t="s">
        <v>393</v>
      </c>
      <c r="D42" t="s">
        <v>371</v>
      </c>
      <c r="E42" t="s">
        <v>391</v>
      </c>
      <c r="H42">
        <v>0</v>
      </c>
      <c r="I42">
        <v>0</v>
      </c>
      <c r="J42">
        <v>0</v>
      </c>
      <c r="K42">
        <v>0</v>
      </c>
      <c r="L42">
        <v>0</v>
      </c>
      <c r="M42">
        <v>0</v>
      </c>
      <c r="N42" t="s">
        <v>394</v>
      </c>
      <c r="O42" t="s">
        <v>264</v>
      </c>
      <c r="P42" s="23">
        <v>45532</v>
      </c>
      <c r="Q42" s="23">
        <v>45546</v>
      </c>
      <c r="R42">
        <v>3</v>
      </c>
      <c r="S42" t="s">
        <v>322</v>
      </c>
      <c r="T42">
        <v>18</v>
      </c>
    </row>
    <row r="43" spans="1:20" x14ac:dyDescent="0.25">
      <c r="A43">
        <v>2024</v>
      </c>
      <c r="B43" t="s">
        <v>164</v>
      </c>
      <c r="C43" t="s">
        <v>174</v>
      </c>
      <c r="D43" t="s">
        <v>371</v>
      </c>
      <c r="E43" t="s">
        <v>391</v>
      </c>
      <c r="F43" t="s">
        <v>395</v>
      </c>
      <c r="H43">
        <v>3924</v>
      </c>
      <c r="I43">
        <v>0</v>
      </c>
      <c r="J43">
        <v>1672</v>
      </c>
      <c r="K43">
        <v>2252</v>
      </c>
      <c r="L43">
        <v>92.54</v>
      </c>
      <c r="M43">
        <v>2084</v>
      </c>
      <c r="N43" t="s">
        <v>396</v>
      </c>
      <c r="O43" t="s">
        <v>264</v>
      </c>
      <c r="P43" s="23">
        <v>45533</v>
      </c>
      <c r="Q43" s="23">
        <v>45554</v>
      </c>
      <c r="R43">
        <v>7</v>
      </c>
      <c r="S43" t="s">
        <v>327</v>
      </c>
      <c r="T43">
        <v>18</v>
      </c>
    </row>
    <row r="44" spans="1:20" x14ac:dyDescent="0.25">
      <c r="A44">
        <v>2024</v>
      </c>
      <c r="B44" t="s">
        <v>164</v>
      </c>
      <c r="C44" t="s">
        <v>178</v>
      </c>
      <c r="D44" t="s">
        <v>371</v>
      </c>
      <c r="E44" t="s">
        <v>391</v>
      </c>
      <c r="F44" t="s">
        <v>397</v>
      </c>
      <c r="G44" t="s">
        <v>398</v>
      </c>
      <c r="H44">
        <v>34</v>
      </c>
      <c r="I44">
        <v>0</v>
      </c>
      <c r="J44">
        <v>16</v>
      </c>
      <c r="K44">
        <v>18</v>
      </c>
      <c r="L44">
        <v>90.18</v>
      </c>
      <c r="M44">
        <v>16</v>
      </c>
      <c r="N44" t="s">
        <v>399</v>
      </c>
      <c r="O44" t="s">
        <v>264</v>
      </c>
      <c r="P44" s="23">
        <v>45533</v>
      </c>
      <c r="Q44" s="23">
        <v>43367</v>
      </c>
      <c r="R44">
        <v>4</v>
      </c>
      <c r="S44" t="s">
        <v>322</v>
      </c>
      <c r="T44">
        <v>18</v>
      </c>
    </row>
    <row r="45" spans="1:20" x14ac:dyDescent="0.25">
      <c r="A45">
        <v>2024</v>
      </c>
      <c r="B45" t="s">
        <v>164</v>
      </c>
      <c r="C45" t="s">
        <v>400</v>
      </c>
      <c r="D45" t="s">
        <v>371</v>
      </c>
      <c r="E45" t="s">
        <v>391</v>
      </c>
      <c r="H45">
        <v>0</v>
      </c>
      <c r="I45">
        <v>0</v>
      </c>
      <c r="J45">
        <v>0</v>
      </c>
      <c r="K45">
        <v>0</v>
      </c>
      <c r="L45">
        <v>0</v>
      </c>
      <c r="M45">
        <v>0</v>
      </c>
      <c r="N45" t="s">
        <v>401</v>
      </c>
      <c r="O45" t="s">
        <v>264</v>
      </c>
      <c r="P45" s="23">
        <v>45534</v>
      </c>
      <c r="Q45" s="23">
        <v>45548</v>
      </c>
      <c r="R45">
        <v>4</v>
      </c>
      <c r="S45" t="s">
        <v>327</v>
      </c>
      <c r="T45">
        <v>18</v>
      </c>
    </row>
    <row r="46" spans="1:20" x14ac:dyDescent="0.25">
      <c r="A46">
        <v>2024</v>
      </c>
      <c r="B46" t="s">
        <v>164</v>
      </c>
      <c r="C46" t="s">
        <v>182</v>
      </c>
      <c r="D46" t="s">
        <v>371</v>
      </c>
      <c r="E46" t="s">
        <v>391</v>
      </c>
      <c r="F46" t="s">
        <v>402</v>
      </c>
      <c r="H46">
        <v>14</v>
      </c>
      <c r="I46">
        <v>0</v>
      </c>
      <c r="J46">
        <v>7</v>
      </c>
      <c r="K46">
        <v>7</v>
      </c>
      <c r="L46">
        <v>90.18</v>
      </c>
      <c r="M46">
        <v>6</v>
      </c>
      <c r="N46" t="s">
        <v>403</v>
      </c>
      <c r="O46" t="s">
        <v>264</v>
      </c>
      <c r="P46" s="23">
        <v>45541</v>
      </c>
      <c r="Q46" s="23">
        <v>45548</v>
      </c>
      <c r="R46">
        <v>2</v>
      </c>
      <c r="S46" t="s">
        <v>322</v>
      </c>
      <c r="T46">
        <v>18</v>
      </c>
    </row>
    <row r="47" spans="1:20" x14ac:dyDescent="0.25">
      <c r="A47">
        <v>2024</v>
      </c>
      <c r="B47" t="s">
        <v>164</v>
      </c>
      <c r="C47" t="s">
        <v>166</v>
      </c>
      <c r="D47" t="s">
        <v>371</v>
      </c>
      <c r="E47" t="s">
        <v>391</v>
      </c>
      <c r="F47" t="s">
        <v>404</v>
      </c>
      <c r="H47">
        <v>7484</v>
      </c>
      <c r="I47">
        <v>0</v>
      </c>
      <c r="J47">
        <v>3905</v>
      </c>
      <c r="K47">
        <v>3579</v>
      </c>
      <c r="L47">
        <v>89.72</v>
      </c>
      <c r="M47">
        <v>3211</v>
      </c>
      <c r="N47" t="s">
        <v>405</v>
      </c>
      <c r="O47" t="s">
        <v>264</v>
      </c>
      <c r="P47" s="23">
        <v>45532</v>
      </c>
      <c r="Q47" s="23">
        <v>45554</v>
      </c>
      <c r="R47">
        <v>7</v>
      </c>
      <c r="S47" t="s">
        <v>327</v>
      </c>
      <c r="T47">
        <v>18</v>
      </c>
    </row>
    <row r="48" spans="1:20" x14ac:dyDescent="0.25">
      <c r="A48">
        <v>2024</v>
      </c>
      <c r="B48" t="s">
        <v>164</v>
      </c>
      <c r="C48" t="s">
        <v>180</v>
      </c>
      <c r="D48" t="s">
        <v>371</v>
      </c>
      <c r="E48" t="s">
        <v>391</v>
      </c>
      <c r="F48" t="s">
        <v>406</v>
      </c>
      <c r="H48">
        <v>92</v>
      </c>
      <c r="I48">
        <v>0</v>
      </c>
      <c r="J48">
        <v>44</v>
      </c>
      <c r="K48">
        <v>48</v>
      </c>
      <c r="L48">
        <v>90.18</v>
      </c>
      <c r="M48">
        <v>43</v>
      </c>
      <c r="N48" t="s">
        <v>407</v>
      </c>
      <c r="O48" t="s">
        <v>264</v>
      </c>
      <c r="P48" s="23">
        <v>45535</v>
      </c>
      <c r="Q48" s="23">
        <v>45548</v>
      </c>
      <c r="R48">
        <v>3</v>
      </c>
      <c r="S48" t="s">
        <v>322</v>
      </c>
      <c r="T48">
        <v>18</v>
      </c>
    </row>
    <row r="49" spans="1:20" x14ac:dyDescent="0.25">
      <c r="A49">
        <v>2024</v>
      </c>
      <c r="B49" t="s">
        <v>164</v>
      </c>
      <c r="C49" t="s">
        <v>184</v>
      </c>
      <c r="D49" t="s">
        <v>371</v>
      </c>
      <c r="E49" t="s">
        <v>391</v>
      </c>
      <c r="F49" t="s">
        <v>395</v>
      </c>
      <c r="H49">
        <v>3164</v>
      </c>
      <c r="I49">
        <v>0</v>
      </c>
      <c r="J49">
        <v>1479</v>
      </c>
      <c r="K49">
        <v>1685</v>
      </c>
      <c r="L49">
        <v>85.31</v>
      </c>
      <c r="M49">
        <v>1438</v>
      </c>
      <c r="N49" t="s">
        <v>389</v>
      </c>
      <c r="O49" t="s">
        <v>264</v>
      </c>
      <c r="P49" s="23">
        <v>45533</v>
      </c>
      <c r="Q49" s="23">
        <v>45554</v>
      </c>
      <c r="R49">
        <v>4</v>
      </c>
      <c r="S49" t="s">
        <v>327</v>
      </c>
      <c r="T49">
        <v>18</v>
      </c>
    </row>
    <row r="50" spans="1:20" x14ac:dyDescent="0.25">
      <c r="A50">
        <v>2024</v>
      </c>
      <c r="B50" t="s">
        <v>192</v>
      </c>
      <c r="C50" t="s">
        <v>194</v>
      </c>
      <c r="D50" t="s">
        <v>371</v>
      </c>
      <c r="E50" t="s">
        <v>193</v>
      </c>
      <c r="F50" t="s">
        <v>408</v>
      </c>
      <c r="H50">
        <v>5481</v>
      </c>
      <c r="I50">
        <v>73</v>
      </c>
      <c r="J50">
        <v>2777</v>
      </c>
      <c r="K50">
        <v>2631</v>
      </c>
      <c r="L50">
        <v>90.91</v>
      </c>
      <c r="M50">
        <v>2392</v>
      </c>
      <c r="N50" t="s">
        <v>409</v>
      </c>
      <c r="O50" t="s">
        <v>264</v>
      </c>
      <c r="P50" s="23">
        <v>45521</v>
      </c>
      <c r="Q50" s="23">
        <v>45550</v>
      </c>
      <c r="R50">
        <v>5</v>
      </c>
      <c r="S50" t="s">
        <v>327</v>
      </c>
      <c r="T50">
        <v>16</v>
      </c>
    </row>
    <row r="51" spans="1:20" x14ac:dyDescent="0.25">
      <c r="A51">
        <v>2024</v>
      </c>
      <c r="B51" t="s">
        <v>192</v>
      </c>
      <c r="C51" t="s">
        <v>196</v>
      </c>
      <c r="D51" t="s">
        <v>371</v>
      </c>
      <c r="E51" t="s">
        <v>193</v>
      </c>
      <c r="F51" t="s">
        <v>410</v>
      </c>
      <c r="H51">
        <v>151</v>
      </c>
      <c r="I51">
        <v>2</v>
      </c>
      <c r="J51">
        <v>76</v>
      </c>
      <c r="K51">
        <v>73</v>
      </c>
      <c r="L51">
        <v>90.91</v>
      </c>
      <c r="M51">
        <v>66</v>
      </c>
      <c r="N51" t="s">
        <v>411</v>
      </c>
      <c r="O51" t="s">
        <v>264</v>
      </c>
      <c r="P51" s="23">
        <v>45522</v>
      </c>
      <c r="Q51" s="23">
        <v>45549</v>
      </c>
      <c r="R51">
        <v>5</v>
      </c>
      <c r="S51" t="s">
        <v>327</v>
      </c>
      <c r="T51">
        <v>16</v>
      </c>
    </row>
    <row r="52" spans="1:20" x14ac:dyDescent="0.25">
      <c r="A52">
        <v>2024</v>
      </c>
      <c r="B52" t="s">
        <v>192</v>
      </c>
      <c r="C52" t="s">
        <v>198</v>
      </c>
      <c r="D52" t="s">
        <v>371</v>
      </c>
      <c r="E52" t="s">
        <v>193</v>
      </c>
      <c r="F52" t="s">
        <v>412</v>
      </c>
      <c r="H52">
        <v>5</v>
      </c>
      <c r="I52">
        <v>0</v>
      </c>
      <c r="J52">
        <v>3</v>
      </c>
      <c r="K52">
        <v>2</v>
      </c>
      <c r="L52">
        <v>90.91</v>
      </c>
      <c r="M52">
        <v>2</v>
      </c>
      <c r="N52" t="s">
        <v>413</v>
      </c>
      <c r="O52" t="s">
        <v>264</v>
      </c>
      <c r="P52" s="23">
        <v>45528</v>
      </c>
      <c r="Q52" s="23">
        <v>45550</v>
      </c>
      <c r="R52">
        <v>4</v>
      </c>
      <c r="S52" t="s">
        <v>327</v>
      </c>
      <c r="T52">
        <v>16</v>
      </c>
    </row>
    <row r="53" spans="1:20" x14ac:dyDescent="0.25">
      <c r="A53">
        <v>2024</v>
      </c>
      <c r="B53" t="s">
        <v>143</v>
      </c>
      <c r="C53" t="s">
        <v>283</v>
      </c>
      <c r="D53" t="s">
        <v>371</v>
      </c>
      <c r="E53" t="s">
        <v>154</v>
      </c>
      <c r="H53">
        <v>0</v>
      </c>
      <c r="I53">
        <v>0</v>
      </c>
      <c r="J53">
        <v>0</v>
      </c>
      <c r="K53">
        <v>0</v>
      </c>
      <c r="L53">
        <v>0</v>
      </c>
      <c r="M53">
        <v>0</v>
      </c>
      <c r="N53" t="s">
        <v>414</v>
      </c>
      <c r="O53" t="s">
        <v>264</v>
      </c>
      <c r="P53" s="23">
        <v>45529</v>
      </c>
      <c r="Q53" s="23">
        <v>45543</v>
      </c>
      <c r="R53">
        <v>3</v>
      </c>
      <c r="S53" t="s">
        <v>322</v>
      </c>
      <c r="T53">
        <v>21</v>
      </c>
    </row>
    <row r="54" spans="1:20" x14ac:dyDescent="0.25">
      <c r="A54">
        <v>2024</v>
      </c>
      <c r="B54" t="s">
        <v>143</v>
      </c>
      <c r="C54" t="s">
        <v>155</v>
      </c>
      <c r="D54" t="s">
        <v>371</v>
      </c>
      <c r="E54" t="s">
        <v>154</v>
      </c>
      <c r="H54">
        <v>2</v>
      </c>
      <c r="I54">
        <v>0</v>
      </c>
      <c r="J54">
        <v>1</v>
      </c>
      <c r="K54">
        <v>1</v>
      </c>
      <c r="L54">
        <v>96.94</v>
      </c>
      <c r="M54">
        <v>1</v>
      </c>
      <c r="N54" t="s">
        <v>415</v>
      </c>
      <c r="O54" t="s">
        <v>264</v>
      </c>
      <c r="P54" s="23">
        <v>45532</v>
      </c>
      <c r="Q54" s="23">
        <v>45546</v>
      </c>
      <c r="R54">
        <v>3</v>
      </c>
      <c r="S54" t="s">
        <v>322</v>
      </c>
      <c r="T54">
        <v>21</v>
      </c>
    </row>
    <row r="55" spans="1:20" x14ac:dyDescent="0.25">
      <c r="A55">
        <v>2024</v>
      </c>
      <c r="B55" t="s">
        <v>143</v>
      </c>
      <c r="C55" t="s">
        <v>161</v>
      </c>
      <c r="D55" t="s">
        <v>371</v>
      </c>
      <c r="E55" t="s">
        <v>154</v>
      </c>
      <c r="F55" t="s">
        <v>416</v>
      </c>
      <c r="H55">
        <v>61</v>
      </c>
      <c r="I55">
        <v>9</v>
      </c>
      <c r="J55">
        <v>23</v>
      </c>
      <c r="K55">
        <v>29</v>
      </c>
      <c r="L55">
        <v>96.94</v>
      </c>
      <c r="M55">
        <v>28</v>
      </c>
      <c r="N55" t="s">
        <v>417</v>
      </c>
      <c r="O55" t="s">
        <v>264</v>
      </c>
      <c r="P55" s="23">
        <v>45528</v>
      </c>
      <c r="Q55" s="23">
        <v>45549</v>
      </c>
      <c r="R55">
        <v>4</v>
      </c>
      <c r="S55" t="s">
        <v>322</v>
      </c>
      <c r="T55">
        <v>21</v>
      </c>
    </row>
    <row r="56" spans="1:20" x14ac:dyDescent="0.25">
      <c r="A56">
        <v>2024</v>
      </c>
      <c r="B56" t="s">
        <v>143</v>
      </c>
      <c r="C56" t="s">
        <v>418</v>
      </c>
      <c r="D56" t="s">
        <v>371</v>
      </c>
      <c r="E56" t="s">
        <v>154</v>
      </c>
      <c r="F56" t="s">
        <v>419</v>
      </c>
      <c r="H56">
        <v>68</v>
      </c>
      <c r="I56">
        <v>0</v>
      </c>
      <c r="J56">
        <v>30</v>
      </c>
      <c r="K56">
        <v>38</v>
      </c>
      <c r="L56">
        <v>96.94</v>
      </c>
      <c r="M56">
        <v>37</v>
      </c>
      <c r="N56" t="s">
        <v>420</v>
      </c>
      <c r="O56" t="s">
        <v>264</v>
      </c>
      <c r="P56" s="23">
        <v>45539</v>
      </c>
      <c r="Q56" s="23">
        <v>45553</v>
      </c>
      <c r="R56">
        <v>3</v>
      </c>
      <c r="S56" t="s">
        <v>322</v>
      </c>
      <c r="T56">
        <v>21</v>
      </c>
    </row>
    <row r="57" spans="1:20" x14ac:dyDescent="0.25">
      <c r="A57">
        <v>2024</v>
      </c>
      <c r="B57" t="s">
        <v>143</v>
      </c>
      <c r="C57" t="s">
        <v>421</v>
      </c>
      <c r="D57" t="s">
        <v>371</v>
      </c>
      <c r="E57" t="s">
        <v>154</v>
      </c>
      <c r="F57" t="s">
        <v>422</v>
      </c>
      <c r="H57">
        <v>13</v>
      </c>
      <c r="I57">
        <v>0</v>
      </c>
      <c r="J57">
        <v>6</v>
      </c>
      <c r="K57">
        <v>7</v>
      </c>
      <c r="L57">
        <v>96.94</v>
      </c>
      <c r="M57">
        <v>7</v>
      </c>
      <c r="N57" t="s">
        <v>423</v>
      </c>
      <c r="O57" t="s">
        <v>264</v>
      </c>
      <c r="P57" s="23">
        <v>45532</v>
      </c>
      <c r="Q57" s="23">
        <v>45546</v>
      </c>
      <c r="R57">
        <v>3</v>
      </c>
      <c r="S57" t="s">
        <v>322</v>
      </c>
      <c r="T57">
        <v>21</v>
      </c>
    </row>
    <row r="58" spans="1:20" x14ac:dyDescent="0.25">
      <c r="A58">
        <v>2024</v>
      </c>
      <c r="B58" t="s">
        <v>143</v>
      </c>
      <c r="C58" t="s">
        <v>424</v>
      </c>
      <c r="D58" t="s">
        <v>371</v>
      </c>
      <c r="E58" t="s">
        <v>154</v>
      </c>
      <c r="H58">
        <v>0</v>
      </c>
      <c r="I58">
        <v>0</v>
      </c>
      <c r="J58">
        <v>0</v>
      </c>
      <c r="K58">
        <v>0</v>
      </c>
      <c r="L58">
        <v>0</v>
      </c>
      <c r="M58">
        <v>0</v>
      </c>
      <c r="N58" t="s">
        <v>337</v>
      </c>
      <c r="O58" t="s">
        <v>264</v>
      </c>
      <c r="P58" s="23">
        <v>45541</v>
      </c>
      <c r="Q58" s="23">
        <v>45548</v>
      </c>
      <c r="R58">
        <v>2</v>
      </c>
      <c r="S58" t="s">
        <v>322</v>
      </c>
      <c r="T58">
        <v>21</v>
      </c>
    </row>
    <row r="59" spans="1:20" x14ac:dyDescent="0.25">
      <c r="A59">
        <v>2024</v>
      </c>
      <c r="B59" t="s">
        <v>143</v>
      </c>
      <c r="C59" t="s">
        <v>425</v>
      </c>
      <c r="D59" t="s">
        <v>371</v>
      </c>
      <c r="E59" t="s">
        <v>154</v>
      </c>
      <c r="H59">
        <v>0</v>
      </c>
      <c r="I59">
        <v>0</v>
      </c>
      <c r="J59">
        <v>0</v>
      </c>
      <c r="K59">
        <v>0</v>
      </c>
      <c r="L59">
        <v>0</v>
      </c>
      <c r="M59">
        <v>0</v>
      </c>
      <c r="N59" t="s">
        <v>426</v>
      </c>
      <c r="O59" t="s">
        <v>264</v>
      </c>
      <c r="P59" s="23">
        <v>45547</v>
      </c>
      <c r="Q59" s="23">
        <v>45547</v>
      </c>
      <c r="R59">
        <v>1</v>
      </c>
      <c r="S59" t="s">
        <v>322</v>
      </c>
      <c r="T59">
        <v>21</v>
      </c>
    </row>
    <row r="60" spans="1:20" x14ac:dyDescent="0.25">
      <c r="A60">
        <v>2024</v>
      </c>
      <c r="B60" t="s">
        <v>143</v>
      </c>
      <c r="C60" t="s">
        <v>427</v>
      </c>
      <c r="D60" t="s">
        <v>371</v>
      </c>
      <c r="E60" t="s">
        <v>154</v>
      </c>
      <c r="H60">
        <v>0</v>
      </c>
      <c r="I60">
        <v>0</v>
      </c>
      <c r="J60">
        <v>0</v>
      </c>
      <c r="K60">
        <v>0</v>
      </c>
      <c r="L60">
        <v>0</v>
      </c>
      <c r="M60">
        <v>0</v>
      </c>
      <c r="N60" t="s">
        <v>335</v>
      </c>
      <c r="O60" t="s">
        <v>264</v>
      </c>
      <c r="P60" s="23">
        <v>45526</v>
      </c>
      <c r="Q60" s="23">
        <v>45554</v>
      </c>
      <c r="R60">
        <v>5</v>
      </c>
      <c r="S60" t="s">
        <v>327</v>
      </c>
      <c r="T60">
        <v>21</v>
      </c>
    </row>
    <row r="61" spans="1:20" x14ac:dyDescent="0.25">
      <c r="A61">
        <v>2024</v>
      </c>
      <c r="B61" t="s">
        <v>143</v>
      </c>
      <c r="C61" t="s">
        <v>146</v>
      </c>
      <c r="D61" t="s">
        <v>371</v>
      </c>
      <c r="E61" t="s">
        <v>154</v>
      </c>
      <c r="F61" t="s">
        <v>428</v>
      </c>
      <c r="H61">
        <v>56</v>
      </c>
      <c r="I61">
        <v>8</v>
      </c>
      <c r="J61">
        <v>21</v>
      </c>
      <c r="K61">
        <v>27</v>
      </c>
      <c r="L61">
        <v>96.9</v>
      </c>
      <c r="M61">
        <v>26</v>
      </c>
      <c r="N61" t="s">
        <v>429</v>
      </c>
      <c r="O61" t="s">
        <v>264</v>
      </c>
      <c r="P61" s="23">
        <v>45526</v>
      </c>
      <c r="Q61" s="23">
        <v>45554</v>
      </c>
      <c r="R61">
        <v>5</v>
      </c>
      <c r="S61" t="s">
        <v>327</v>
      </c>
      <c r="T61">
        <v>21</v>
      </c>
    </row>
    <row r="62" spans="1:20" x14ac:dyDescent="0.25">
      <c r="A62">
        <v>2024</v>
      </c>
      <c r="B62" t="s">
        <v>143</v>
      </c>
      <c r="C62" t="s">
        <v>430</v>
      </c>
      <c r="D62" t="s">
        <v>371</v>
      </c>
      <c r="E62" t="s">
        <v>154</v>
      </c>
      <c r="H62">
        <v>0</v>
      </c>
      <c r="I62">
        <v>0</v>
      </c>
      <c r="J62">
        <v>0</v>
      </c>
      <c r="K62">
        <v>0</v>
      </c>
      <c r="L62">
        <v>0</v>
      </c>
      <c r="M62">
        <v>0</v>
      </c>
      <c r="N62" t="s">
        <v>426</v>
      </c>
      <c r="O62" t="s">
        <v>264</v>
      </c>
      <c r="P62" s="23">
        <v>45542</v>
      </c>
      <c r="Q62" s="23">
        <v>45542</v>
      </c>
      <c r="R62">
        <v>1</v>
      </c>
      <c r="S62" t="s">
        <v>322</v>
      </c>
      <c r="T62">
        <v>21</v>
      </c>
    </row>
    <row r="63" spans="1:20" x14ac:dyDescent="0.25">
      <c r="A63">
        <v>2024</v>
      </c>
      <c r="B63" t="s">
        <v>143</v>
      </c>
      <c r="C63" t="s">
        <v>431</v>
      </c>
      <c r="D63" t="s">
        <v>371</v>
      </c>
      <c r="E63" t="s">
        <v>154</v>
      </c>
      <c r="H63">
        <v>0</v>
      </c>
      <c r="I63">
        <v>0</v>
      </c>
      <c r="J63">
        <v>0</v>
      </c>
      <c r="K63">
        <v>0</v>
      </c>
      <c r="L63">
        <v>0</v>
      </c>
      <c r="M63">
        <v>0</v>
      </c>
      <c r="N63" t="s">
        <v>426</v>
      </c>
      <c r="O63" t="s">
        <v>264</v>
      </c>
      <c r="P63" s="23">
        <v>45542</v>
      </c>
      <c r="Q63" s="23">
        <v>45542</v>
      </c>
      <c r="R63">
        <v>1</v>
      </c>
      <c r="S63" t="s">
        <v>322</v>
      </c>
      <c r="T63">
        <v>21</v>
      </c>
    </row>
    <row r="64" spans="1:20" x14ac:dyDescent="0.25">
      <c r="A64">
        <v>2024</v>
      </c>
      <c r="B64" t="s">
        <v>143</v>
      </c>
      <c r="C64" t="s">
        <v>432</v>
      </c>
      <c r="D64" t="s">
        <v>371</v>
      </c>
      <c r="E64" t="s">
        <v>154</v>
      </c>
      <c r="H64">
        <v>0</v>
      </c>
      <c r="I64">
        <v>0</v>
      </c>
      <c r="J64">
        <v>0</v>
      </c>
      <c r="K64">
        <v>0</v>
      </c>
      <c r="L64">
        <v>0</v>
      </c>
      <c r="M64">
        <v>0</v>
      </c>
      <c r="N64" t="s">
        <v>414</v>
      </c>
      <c r="O64" t="s">
        <v>264</v>
      </c>
      <c r="P64" s="23">
        <v>45529</v>
      </c>
      <c r="Q64" s="23">
        <v>45543</v>
      </c>
      <c r="R64">
        <v>3</v>
      </c>
      <c r="S64" t="s">
        <v>322</v>
      </c>
      <c r="T64">
        <v>21</v>
      </c>
    </row>
    <row r="65" spans="1:20" x14ac:dyDescent="0.25">
      <c r="A65">
        <v>2024</v>
      </c>
      <c r="B65" t="s">
        <v>143</v>
      </c>
      <c r="C65" t="s">
        <v>433</v>
      </c>
      <c r="D65" t="s">
        <v>371</v>
      </c>
      <c r="E65" t="s">
        <v>154</v>
      </c>
      <c r="H65">
        <v>0</v>
      </c>
      <c r="I65">
        <v>0</v>
      </c>
      <c r="J65">
        <v>0</v>
      </c>
      <c r="K65">
        <v>0</v>
      </c>
      <c r="L65">
        <v>0</v>
      </c>
      <c r="M65">
        <v>0</v>
      </c>
      <c r="N65" t="s">
        <v>414</v>
      </c>
      <c r="O65" t="s">
        <v>264</v>
      </c>
      <c r="P65" s="23">
        <v>45528</v>
      </c>
      <c r="Q65" s="23">
        <v>45542</v>
      </c>
      <c r="R65">
        <v>3</v>
      </c>
      <c r="S65" t="s">
        <v>322</v>
      </c>
      <c r="T65">
        <v>21</v>
      </c>
    </row>
    <row r="66" spans="1:20" x14ac:dyDescent="0.25">
      <c r="A66">
        <v>2024</v>
      </c>
      <c r="B66" t="s">
        <v>143</v>
      </c>
      <c r="C66" t="s">
        <v>434</v>
      </c>
      <c r="D66" t="s">
        <v>371</v>
      </c>
      <c r="E66" t="s">
        <v>154</v>
      </c>
      <c r="H66">
        <v>0</v>
      </c>
      <c r="I66">
        <v>0</v>
      </c>
      <c r="J66">
        <v>0</v>
      </c>
      <c r="K66">
        <v>0</v>
      </c>
      <c r="L66">
        <v>0</v>
      </c>
      <c r="M66">
        <v>0</v>
      </c>
      <c r="N66" t="s">
        <v>435</v>
      </c>
      <c r="O66" t="s">
        <v>264</v>
      </c>
      <c r="P66" s="23">
        <v>45526</v>
      </c>
      <c r="Q66" s="23">
        <v>45547</v>
      </c>
      <c r="R66">
        <v>4</v>
      </c>
      <c r="S66" t="s">
        <v>327</v>
      </c>
      <c r="T66">
        <v>21</v>
      </c>
    </row>
    <row r="67" spans="1:20" x14ac:dyDescent="0.25">
      <c r="A67">
        <v>2024</v>
      </c>
      <c r="B67" t="s">
        <v>143</v>
      </c>
      <c r="C67" t="s">
        <v>436</v>
      </c>
      <c r="D67" t="s">
        <v>371</v>
      </c>
      <c r="E67" t="s">
        <v>154</v>
      </c>
      <c r="H67">
        <v>0</v>
      </c>
      <c r="I67">
        <v>0</v>
      </c>
      <c r="J67">
        <v>0</v>
      </c>
      <c r="K67">
        <v>0</v>
      </c>
      <c r="L67">
        <v>0</v>
      </c>
      <c r="M67">
        <v>0</v>
      </c>
      <c r="N67" t="s">
        <v>435</v>
      </c>
      <c r="O67" t="s">
        <v>264</v>
      </c>
      <c r="P67" s="23">
        <v>45527</v>
      </c>
      <c r="Q67" s="23">
        <v>45548</v>
      </c>
      <c r="R67">
        <v>4</v>
      </c>
      <c r="S67" t="s">
        <v>322</v>
      </c>
      <c r="T67">
        <v>8</v>
      </c>
    </row>
    <row r="68" spans="1:20" x14ac:dyDescent="0.25">
      <c r="A68">
        <v>2024</v>
      </c>
      <c r="B68" t="s">
        <v>143</v>
      </c>
      <c r="C68" t="s">
        <v>437</v>
      </c>
      <c r="D68" t="s">
        <v>371</v>
      </c>
      <c r="E68" t="s">
        <v>154</v>
      </c>
      <c r="H68">
        <v>0</v>
      </c>
      <c r="I68">
        <v>0</v>
      </c>
      <c r="J68">
        <v>0</v>
      </c>
      <c r="K68">
        <v>0</v>
      </c>
      <c r="L68">
        <v>0</v>
      </c>
      <c r="M68">
        <v>0</v>
      </c>
      <c r="N68" t="s">
        <v>438</v>
      </c>
      <c r="O68" t="s">
        <v>264</v>
      </c>
      <c r="P68" s="23">
        <v>45532</v>
      </c>
      <c r="Q68" s="23">
        <v>45546</v>
      </c>
      <c r="R68">
        <v>3</v>
      </c>
      <c r="S68" t="s">
        <v>322</v>
      </c>
      <c r="T68">
        <v>21</v>
      </c>
    </row>
    <row r="69" spans="1:20" x14ac:dyDescent="0.25">
      <c r="A69">
        <v>2024</v>
      </c>
      <c r="B69" t="s">
        <v>143</v>
      </c>
      <c r="C69" t="s">
        <v>439</v>
      </c>
      <c r="D69" t="s">
        <v>371</v>
      </c>
      <c r="E69" t="s">
        <v>154</v>
      </c>
      <c r="H69">
        <v>0</v>
      </c>
      <c r="I69">
        <v>0</v>
      </c>
      <c r="J69">
        <v>0</v>
      </c>
      <c r="K69">
        <v>0</v>
      </c>
      <c r="L69">
        <v>0</v>
      </c>
      <c r="M69">
        <v>0</v>
      </c>
      <c r="N69" t="s">
        <v>414</v>
      </c>
      <c r="O69" t="s">
        <v>264</v>
      </c>
      <c r="P69" s="23">
        <v>45529</v>
      </c>
      <c r="Q69" s="23">
        <v>45543</v>
      </c>
      <c r="R69">
        <v>3</v>
      </c>
      <c r="S69" t="s">
        <v>322</v>
      </c>
      <c r="T69">
        <v>21</v>
      </c>
    </row>
    <row r="70" spans="1:20" x14ac:dyDescent="0.25">
      <c r="A70">
        <v>2024</v>
      </c>
      <c r="B70" t="s">
        <v>143</v>
      </c>
      <c r="C70" t="s">
        <v>440</v>
      </c>
      <c r="D70" t="s">
        <v>371</v>
      </c>
      <c r="E70" t="s">
        <v>154</v>
      </c>
      <c r="H70">
        <v>0</v>
      </c>
      <c r="I70">
        <v>0</v>
      </c>
      <c r="J70">
        <v>0</v>
      </c>
      <c r="K70">
        <v>0</v>
      </c>
      <c r="L70">
        <v>0</v>
      </c>
      <c r="M70">
        <v>0</v>
      </c>
      <c r="N70" t="s">
        <v>337</v>
      </c>
      <c r="O70" t="s">
        <v>264</v>
      </c>
      <c r="P70" s="23">
        <v>45534</v>
      </c>
      <c r="Q70" s="23">
        <v>45548</v>
      </c>
      <c r="R70">
        <v>2</v>
      </c>
      <c r="S70" t="s">
        <v>322</v>
      </c>
      <c r="T70">
        <v>21</v>
      </c>
    </row>
    <row r="71" spans="1:20" x14ac:dyDescent="0.25">
      <c r="A71">
        <v>2024</v>
      </c>
      <c r="B71" t="s">
        <v>143</v>
      </c>
      <c r="C71" t="s">
        <v>441</v>
      </c>
      <c r="D71" t="s">
        <v>371</v>
      </c>
      <c r="E71" t="s">
        <v>154</v>
      </c>
      <c r="H71">
        <v>0</v>
      </c>
      <c r="I71">
        <v>0</v>
      </c>
      <c r="J71">
        <v>0</v>
      </c>
      <c r="K71">
        <v>0</v>
      </c>
      <c r="L71">
        <v>0</v>
      </c>
      <c r="M71">
        <v>0</v>
      </c>
      <c r="N71" t="s">
        <v>426</v>
      </c>
      <c r="O71" t="s">
        <v>264</v>
      </c>
      <c r="P71" s="23">
        <v>45534</v>
      </c>
      <c r="Q71" s="23">
        <v>45534</v>
      </c>
      <c r="R71">
        <v>1</v>
      </c>
      <c r="S71" t="s">
        <v>322</v>
      </c>
      <c r="T71">
        <v>21</v>
      </c>
    </row>
    <row r="72" spans="1:20" x14ac:dyDescent="0.25">
      <c r="A72">
        <v>2024</v>
      </c>
      <c r="B72" t="s">
        <v>143</v>
      </c>
      <c r="C72" t="s">
        <v>163</v>
      </c>
      <c r="D72" t="s">
        <v>371</v>
      </c>
      <c r="E72" t="s">
        <v>154</v>
      </c>
      <c r="H72">
        <v>2</v>
      </c>
      <c r="I72">
        <v>0</v>
      </c>
      <c r="J72">
        <v>1</v>
      </c>
      <c r="K72">
        <v>1</v>
      </c>
      <c r="L72">
        <v>96.94</v>
      </c>
      <c r="M72">
        <v>1</v>
      </c>
      <c r="N72" t="s">
        <v>442</v>
      </c>
      <c r="O72" t="s">
        <v>264</v>
      </c>
      <c r="P72" s="23">
        <v>45526</v>
      </c>
      <c r="Q72" s="23">
        <v>45554</v>
      </c>
      <c r="R72">
        <v>5</v>
      </c>
      <c r="S72" t="s">
        <v>327</v>
      </c>
      <c r="T72">
        <v>21</v>
      </c>
    </row>
    <row r="73" spans="1:20" x14ac:dyDescent="0.25">
      <c r="A73">
        <v>2024</v>
      </c>
      <c r="B73" t="s">
        <v>143</v>
      </c>
      <c r="C73" t="s">
        <v>443</v>
      </c>
      <c r="D73" t="s">
        <v>371</v>
      </c>
      <c r="E73" t="s">
        <v>154</v>
      </c>
      <c r="F73" t="s">
        <v>416</v>
      </c>
      <c r="G73" t="s">
        <v>383</v>
      </c>
      <c r="H73">
        <v>907</v>
      </c>
      <c r="I73">
        <v>181</v>
      </c>
      <c r="J73">
        <v>335</v>
      </c>
      <c r="K73">
        <v>391</v>
      </c>
      <c r="L73">
        <v>99.04</v>
      </c>
      <c r="M73">
        <v>387</v>
      </c>
      <c r="N73" t="s">
        <v>444</v>
      </c>
      <c r="O73" t="s">
        <v>264</v>
      </c>
      <c r="P73" s="23">
        <v>45520</v>
      </c>
      <c r="Q73" s="23">
        <v>45554</v>
      </c>
      <c r="R73">
        <v>35</v>
      </c>
      <c r="S73" t="s">
        <v>445</v>
      </c>
      <c r="T73">
        <v>15</v>
      </c>
    </row>
    <row r="74" spans="1:20" x14ac:dyDescent="0.25">
      <c r="A74">
        <v>2024</v>
      </c>
      <c r="B74" t="s">
        <v>143</v>
      </c>
      <c r="C74" t="s">
        <v>152</v>
      </c>
      <c r="D74" t="s">
        <v>371</v>
      </c>
      <c r="E74" t="s">
        <v>154</v>
      </c>
      <c r="F74" t="s">
        <v>416</v>
      </c>
      <c r="H74">
        <v>734</v>
      </c>
      <c r="I74">
        <v>27</v>
      </c>
      <c r="J74">
        <v>285</v>
      </c>
      <c r="K74">
        <v>422</v>
      </c>
      <c r="L74">
        <v>93.75</v>
      </c>
      <c r="M74">
        <v>396</v>
      </c>
      <c r="N74" t="s">
        <v>446</v>
      </c>
      <c r="O74" t="s">
        <v>264</v>
      </c>
      <c r="P74" s="23">
        <v>45527</v>
      </c>
      <c r="Q74" s="23">
        <v>45560</v>
      </c>
      <c r="R74">
        <v>6</v>
      </c>
      <c r="S74" t="s">
        <v>327</v>
      </c>
      <c r="T74">
        <v>8</v>
      </c>
    </row>
    <row r="75" spans="1:20" x14ac:dyDescent="0.25">
      <c r="A75">
        <v>2024</v>
      </c>
      <c r="B75" t="s">
        <v>143</v>
      </c>
      <c r="C75" t="s">
        <v>447</v>
      </c>
      <c r="D75" t="s">
        <v>371</v>
      </c>
      <c r="E75" t="s">
        <v>154</v>
      </c>
      <c r="H75">
        <v>0</v>
      </c>
      <c r="I75">
        <v>0</v>
      </c>
      <c r="J75">
        <v>0</v>
      </c>
      <c r="K75">
        <v>0</v>
      </c>
      <c r="L75">
        <v>0</v>
      </c>
      <c r="M75">
        <v>0</v>
      </c>
      <c r="N75" t="s">
        <v>337</v>
      </c>
      <c r="O75" t="s">
        <v>264</v>
      </c>
      <c r="P75" s="23">
        <v>45546</v>
      </c>
      <c r="Q75" s="23">
        <v>45553</v>
      </c>
      <c r="R75">
        <v>2</v>
      </c>
      <c r="S75" t="s">
        <v>322</v>
      </c>
      <c r="T75">
        <v>21</v>
      </c>
    </row>
    <row r="76" spans="1:20" x14ac:dyDescent="0.25">
      <c r="A76">
        <v>2024</v>
      </c>
      <c r="B76" t="s">
        <v>143</v>
      </c>
      <c r="C76" t="s">
        <v>448</v>
      </c>
      <c r="D76" t="s">
        <v>371</v>
      </c>
      <c r="E76" t="s">
        <v>154</v>
      </c>
      <c r="H76">
        <v>4</v>
      </c>
      <c r="I76">
        <v>0</v>
      </c>
      <c r="J76">
        <v>2</v>
      </c>
      <c r="K76">
        <v>2</v>
      </c>
      <c r="L76">
        <v>96.94</v>
      </c>
      <c r="M76">
        <v>2</v>
      </c>
      <c r="N76" t="s">
        <v>442</v>
      </c>
      <c r="O76" t="s">
        <v>264</v>
      </c>
      <c r="P76" s="23">
        <v>45526</v>
      </c>
      <c r="Q76" s="23">
        <v>45554</v>
      </c>
      <c r="R76">
        <v>5</v>
      </c>
      <c r="S76" t="s">
        <v>327</v>
      </c>
      <c r="T76">
        <v>21</v>
      </c>
    </row>
    <row r="77" spans="1:20" x14ac:dyDescent="0.25">
      <c r="A77">
        <v>2024</v>
      </c>
      <c r="B77" t="s">
        <v>204</v>
      </c>
      <c r="C77" t="s">
        <v>206</v>
      </c>
      <c r="D77" t="s">
        <v>371</v>
      </c>
      <c r="E77" t="s">
        <v>449</v>
      </c>
      <c r="F77" t="s">
        <v>412</v>
      </c>
      <c r="G77" t="s">
        <v>383</v>
      </c>
      <c r="H77">
        <v>1906</v>
      </c>
      <c r="I77">
        <v>17</v>
      </c>
      <c r="J77">
        <v>701</v>
      </c>
      <c r="K77">
        <v>1188</v>
      </c>
      <c r="L77">
        <v>98.78</v>
      </c>
      <c r="M77">
        <v>1174</v>
      </c>
      <c r="N77" t="s">
        <v>450</v>
      </c>
      <c r="O77" t="s">
        <v>264</v>
      </c>
      <c r="P77" s="23">
        <v>45525</v>
      </c>
      <c r="Q77" s="23">
        <v>45551</v>
      </c>
      <c r="R77">
        <v>5</v>
      </c>
      <c r="S77" t="s">
        <v>327</v>
      </c>
      <c r="T77">
        <v>14</v>
      </c>
    </row>
    <row r="78" spans="1:20" x14ac:dyDescent="0.25">
      <c r="A78">
        <v>2024</v>
      </c>
      <c r="B78" t="s">
        <v>204</v>
      </c>
      <c r="C78" t="s">
        <v>451</v>
      </c>
      <c r="D78" t="s">
        <v>371</v>
      </c>
      <c r="E78" t="s">
        <v>449</v>
      </c>
      <c r="F78" t="s">
        <v>452</v>
      </c>
      <c r="G78" t="s">
        <v>453</v>
      </c>
      <c r="H78">
        <v>7</v>
      </c>
      <c r="I78">
        <v>0</v>
      </c>
      <c r="J78">
        <v>3</v>
      </c>
      <c r="K78">
        <v>4</v>
      </c>
      <c r="L78">
        <v>98.78</v>
      </c>
      <c r="M78">
        <v>4</v>
      </c>
      <c r="N78" t="s">
        <v>454</v>
      </c>
      <c r="O78" t="s">
        <v>264</v>
      </c>
      <c r="P78" s="23">
        <v>45537</v>
      </c>
      <c r="Q78" s="23">
        <v>45551</v>
      </c>
      <c r="R78">
        <v>3</v>
      </c>
      <c r="S78" t="s">
        <v>322</v>
      </c>
      <c r="T78">
        <v>14</v>
      </c>
    </row>
    <row r="79" spans="1:20" x14ac:dyDescent="0.25">
      <c r="A79">
        <v>2024</v>
      </c>
      <c r="B79" t="s">
        <v>455</v>
      </c>
      <c r="C79" t="s">
        <v>456</v>
      </c>
      <c r="D79" t="s">
        <v>371</v>
      </c>
      <c r="E79" t="s">
        <v>457</v>
      </c>
      <c r="H79">
        <v>227</v>
      </c>
      <c r="I79">
        <v>0</v>
      </c>
      <c r="J79">
        <v>113</v>
      </c>
      <c r="K79">
        <v>114</v>
      </c>
      <c r="L79">
        <v>100</v>
      </c>
      <c r="M79">
        <v>0</v>
      </c>
      <c r="N79" t="s">
        <v>458</v>
      </c>
      <c r="O79" t="s">
        <v>378</v>
      </c>
      <c r="P79" s="23">
        <v>45498</v>
      </c>
      <c r="Q79" s="23">
        <v>45548</v>
      </c>
      <c r="R79">
        <v>50</v>
      </c>
      <c r="S79" t="s">
        <v>379</v>
      </c>
      <c r="T79">
        <v>22</v>
      </c>
    </row>
    <row r="80" spans="1:20" x14ac:dyDescent="0.25">
      <c r="A80">
        <v>2024</v>
      </c>
      <c r="B80" t="s">
        <v>199</v>
      </c>
      <c r="C80" t="s">
        <v>459</v>
      </c>
      <c r="D80" t="s">
        <v>371</v>
      </c>
      <c r="E80" t="s">
        <v>460</v>
      </c>
      <c r="H80">
        <v>0</v>
      </c>
      <c r="I80">
        <v>0</v>
      </c>
      <c r="J80">
        <v>0</v>
      </c>
      <c r="K80">
        <v>0</v>
      </c>
      <c r="L80">
        <v>0</v>
      </c>
      <c r="M80">
        <v>0</v>
      </c>
      <c r="N80" t="s">
        <v>461</v>
      </c>
      <c r="O80" t="s">
        <v>264</v>
      </c>
      <c r="P80" s="23">
        <v>45554</v>
      </c>
      <c r="Q80" s="23">
        <v>45554</v>
      </c>
      <c r="R80">
        <v>1</v>
      </c>
      <c r="S80" t="s">
        <v>322</v>
      </c>
      <c r="T80">
        <v>17</v>
      </c>
    </row>
    <row r="81" spans="1:20" x14ac:dyDescent="0.25">
      <c r="A81">
        <v>2024</v>
      </c>
      <c r="B81" t="s">
        <v>199</v>
      </c>
      <c r="C81" t="s">
        <v>201</v>
      </c>
      <c r="D81" t="s">
        <v>371</v>
      </c>
      <c r="E81" t="s">
        <v>460</v>
      </c>
      <c r="F81" t="s">
        <v>462</v>
      </c>
      <c r="G81" t="s">
        <v>463</v>
      </c>
      <c r="H81">
        <v>89321</v>
      </c>
      <c r="I81">
        <v>0</v>
      </c>
      <c r="J81">
        <v>40749</v>
      </c>
      <c r="K81">
        <v>48572</v>
      </c>
      <c r="L81">
        <v>54.35</v>
      </c>
      <c r="M81">
        <v>26400</v>
      </c>
      <c r="N81" t="s">
        <v>464</v>
      </c>
      <c r="O81" t="s">
        <v>378</v>
      </c>
      <c r="P81" s="23">
        <v>45499</v>
      </c>
      <c r="Q81" s="23">
        <v>45561</v>
      </c>
      <c r="R81">
        <v>63</v>
      </c>
      <c r="S81" t="s">
        <v>379</v>
      </c>
      <c r="T81">
        <v>17</v>
      </c>
    </row>
    <row r="82" spans="1:20" x14ac:dyDescent="0.25">
      <c r="A82">
        <v>2024</v>
      </c>
      <c r="B82" t="s">
        <v>199</v>
      </c>
      <c r="C82" t="s">
        <v>465</v>
      </c>
      <c r="D82" t="s">
        <v>371</v>
      </c>
      <c r="E82" t="s">
        <v>460</v>
      </c>
      <c r="F82" t="s">
        <v>462</v>
      </c>
      <c r="G82" t="s">
        <v>463</v>
      </c>
      <c r="H82">
        <v>30030</v>
      </c>
      <c r="I82">
        <v>0</v>
      </c>
      <c r="J82">
        <v>14687</v>
      </c>
      <c r="K82">
        <v>15343</v>
      </c>
      <c r="L82">
        <v>39.549999999999997</v>
      </c>
      <c r="M82">
        <v>6068</v>
      </c>
      <c r="N82" t="s">
        <v>466</v>
      </c>
      <c r="O82" t="s">
        <v>467</v>
      </c>
      <c r="P82" s="23">
        <v>45526</v>
      </c>
      <c r="Q82" s="23">
        <v>45564</v>
      </c>
      <c r="R82">
        <v>39</v>
      </c>
      <c r="S82" t="s">
        <v>445</v>
      </c>
      <c r="T82">
        <v>17</v>
      </c>
    </row>
    <row r="83" spans="1:20" x14ac:dyDescent="0.25">
      <c r="A83">
        <v>2024</v>
      </c>
      <c r="B83" t="s">
        <v>208</v>
      </c>
      <c r="C83" t="s">
        <v>210</v>
      </c>
      <c r="D83" t="s">
        <v>371</v>
      </c>
      <c r="E83" t="s">
        <v>468</v>
      </c>
      <c r="F83" t="s">
        <v>469</v>
      </c>
      <c r="H83">
        <v>616</v>
      </c>
      <c r="I83">
        <v>0</v>
      </c>
      <c r="J83">
        <v>308</v>
      </c>
      <c r="K83">
        <v>308</v>
      </c>
      <c r="L83">
        <v>96.71</v>
      </c>
      <c r="M83">
        <v>298</v>
      </c>
      <c r="N83" t="s">
        <v>470</v>
      </c>
      <c r="O83" t="s">
        <v>264</v>
      </c>
      <c r="P83" s="23">
        <v>45539</v>
      </c>
      <c r="Q83" s="23">
        <v>45546</v>
      </c>
      <c r="R83">
        <v>4</v>
      </c>
      <c r="S83" t="s">
        <v>327</v>
      </c>
      <c r="T83">
        <v>4</v>
      </c>
    </row>
    <row r="84" spans="1:20" x14ac:dyDescent="0.25">
      <c r="A84">
        <v>2024</v>
      </c>
      <c r="B84" t="s">
        <v>208</v>
      </c>
      <c r="C84" t="s">
        <v>471</v>
      </c>
      <c r="D84" t="s">
        <v>371</v>
      </c>
      <c r="E84" t="s">
        <v>468</v>
      </c>
      <c r="H84">
        <v>0</v>
      </c>
      <c r="I84">
        <v>0</v>
      </c>
      <c r="J84">
        <v>0</v>
      </c>
      <c r="K84">
        <v>0</v>
      </c>
      <c r="L84">
        <v>0</v>
      </c>
      <c r="M84">
        <v>0</v>
      </c>
      <c r="N84" t="s">
        <v>472</v>
      </c>
      <c r="O84" t="s">
        <v>264</v>
      </c>
      <c r="P84" s="23">
        <v>45539</v>
      </c>
      <c r="Q84" s="23">
        <v>45546</v>
      </c>
      <c r="R84">
        <v>2</v>
      </c>
      <c r="S84" t="s">
        <v>322</v>
      </c>
      <c r="T84">
        <v>4</v>
      </c>
    </row>
    <row r="85" spans="1:20" x14ac:dyDescent="0.25">
      <c r="A85">
        <v>2024</v>
      </c>
      <c r="B85" t="s">
        <v>208</v>
      </c>
      <c r="C85" t="s">
        <v>473</v>
      </c>
      <c r="D85" t="s">
        <v>371</v>
      </c>
      <c r="E85" t="s">
        <v>474</v>
      </c>
      <c r="H85">
        <v>0</v>
      </c>
      <c r="I85">
        <v>0</v>
      </c>
      <c r="J85">
        <v>0</v>
      </c>
      <c r="K85">
        <v>0</v>
      </c>
      <c r="L85">
        <v>0</v>
      </c>
      <c r="M85">
        <v>0</v>
      </c>
      <c r="N85" t="s">
        <v>472</v>
      </c>
      <c r="O85" t="s">
        <v>264</v>
      </c>
      <c r="P85" s="23">
        <v>45533</v>
      </c>
      <c r="Q85" s="23">
        <v>45537</v>
      </c>
      <c r="R85">
        <v>2</v>
      </c>
      <c r="S85" t="s">
        <v>322</v>
      </c>
    </row>
    <row r="86" spans="1:20" x14ac:dyDescent="0.25">
      <c r="A86">
        <v>2024</v>
      </c>
      <c r="B86" t="s">
        <v>208</v>
      </c>
      <c r="C86" t="s">
        <v>475</v>
      </c>
      <c r="D86" t="s">
        <v>371</v>
      </c>
      <c r="E86" t="s">
        <v>476</v>
      </c>
      <c r="H86">
        <v>0</v>
      </c>
      <c r="I86">
        <v>0</v>
      </c>
      <c r="J86">
        <v>0</v>
      </c>
      <c r="K86">
        <v>0</v>
      </c>
      <c r="L86">
        <v>0</v>
      </c>
      <c r="M86">
        <v>0</v>
      </c>
      <c r="N86" t="s">
        <v>477</v>
      </c>
      <c r="O86" t="s">
        <v>264</v>
      </c>
      <c r="P86" s="23">
        <v>45533</v>
      </c>
      <c r="Q86" s="23">
        <v>45539</v>
      </c>
      <c r="R86">
        <v>3</v>
      </c>
      <c r="S86" t="s">
        <v>322</v>
      </c>
    </row>
    <row r="87" spans="1:20" x14ac:dyDescent="0.25">
      <c r="A87">
        <v>2024</v>
      </c>
      <c r="B87" t="s">
        <v>164</v>
      </c>
      <c r="C87" t="s">
        <v>271</v>
      </c>
      <c r="D87" t="s">
        <v>478</v>
      </c>
      <c r="E87" t="s">
        <v>270</v>
      </c>
      <c r="H87">
        <v>191</v>
      </c>
      <c r="I87">
        <v>0</v>
      </c>
      <c r="J87">
        <v>95</v>
      </c>
      <c r="K87">
        <v>96</v>
      </c>
      <c r="L87">
        <v>100</v>
      </c>
      <c r="M87">
        <v>96</v>
      </c>
      <c r="N87" t="s">
        <v>479</v>
      </c>
      <c r="O87" t="s">
        <v>264</v>
      </c>
      <c r="P87" s="23">
        <v>45602</v>
      </c>
      <c r="Q87" s="23">
        <v>45602</v>
      </c>
      <c r="R87">
        <v>1</v>
      </c>
      <c r="S87" t="s">
        <v>322</v>
      </c>
      <c r="T87">
        <v>27</v>
      </c>
    </row>
    <row r="88" spans="1:20" x14ac:dyDescent="0.25">
      <c r="A88">
        <v>2024</v>
      </c>
      <c r="B88" t="s">
        <v>295</v>
      </c>
      <c r="C88" t="s">
        <v>480</v>
      </c>
      <c r="D88" t="s">
        <v>478</v>
      </c>
      <c r="E88" t="s">
        <v>481</v>
      </c>
      <c r="F88" t="s">
        <v>482</v>
      </c>
      <c r="H88">
        <v>72852</v>
      </c>
      <c r="I88">
        <v>38</v>
      </c>
      <c r="J88">
        <v>31468</v>
      </c>
      <c r="K88">
        <v>41346</v>
      </c>
      <c r="L88">
        <v>98.66</v>
      </c>
      <c r="M88">
        <v>40791</v>
      </c>
      <c r="O88" t="s">
        <v>483</v>
      </c>
      <c r="P88" s="23">
        <v>45580</v>
      </c>
      <c r="Q88" s="23">
        <v>45633</v>
      </c>
      <c r="R88">
        <v>46</v>
      </c>
      <c r="S88" t="s">
        <v>379</v>
      </c>
      <c r="T88">
        <v>19</v>
      </c>
    </row>
    <row r="89" spans="1:20" x14ac:dyDescent="0.25">
      <c r="A89">
        <v>2024</v>
      </c>
      <c r="B89" t="s">
        <v>204</v>
      </c>
      <c r="C89" t="s">
        <v>484</v>
      </c>
      <c r="D89" t="s">
        <v>478</v>
      </c>
      <c r="E89" t="s">
        <v>274</v>
      </c>
      <c r="F89" t="s">
        <v>485</v>
      </c>
      <c r="H89">
        <v>7473</v>
      </c>
      <c r="I89">
        <v>0</v>
      </c>
      <c r="J89">
        <v>3303</v>
      </c>
      <c r="K89">
        <v>4170</v>
      </c>
      <c r="L89">
        <v>95.01</v>
      </c>
      <c r="M89">
        <v>3962</v>
      </c>
      <c r="N89" t="s">
        <v>486</v>
      </c>
      <c r="O89" t="s">
        <v>264</v>
      </c>
      <c r="P89" s="23">
        <v>45556</v>
      </c>
      <c r="Q89" s="23">
        <v>45569</v>
      </c>
      <c r="R89">
        <v>5</v>
      </c>
      <c r="S89" t="s">
        <v>327</v>
      </c>
      <c r="T89">
        <v>25</v>
      </c>
    </row>
    <row r="90" spans="1:20" x14ac:dyDescent="0.25">
      <c r="A90">
        <v>2024</v>
      </c>
      <c r="B90" t="s">
        <v>204</v>
      </c>
      <c r="C90" t="s">
        <v>275</v>
      </c>
      <c r="D90" t="s">
        <v>478</v>
      </c>
      <c r="E90" t="s">
        <v>274</v>
      </c>
      <c r="H90">
        <v>104</v>
      </c>
      <c r="I90">
        <v>0</v>
      </c>
      <c r="J90">
        <v>46</v>
      </c>
      <c r="K90">
        <v>58</v>
      </c>
      <c r="L90">
        <v>95.01</v>
      </c>
      <c r="M90">
        <v>55</v>
      </c>
      <c r="N90" t="s">
        <v>487</v>
      </c>
      <c r="O90" t="s">
        <v>264</v>
      </c>
      <c r="P90" s="23">
        <v>45547</v>
      </c>
      <c r="Q90" s="23">
        <v>45547</v>
      </c>
      <c r="R90">
        <v>1</v>
      </c>
      <c r="S90" t="s">
        <v>327</v>
      </c>
      <c r="T90">
        <v>26</v>
      </c>
    </row>
    <row r="91" spans="1:20" x14ac:dyDescent="0.25">
      <c r="A91">
        <v>2024</v>
      </c>
      <c r="B91" t="s">
        <v>204</v>
      </c>
      <c r="C91" t="s">
        <v>488</v>
      </c>
      <c r="D91" t="s">
        <v>478</v>
      </c>
      <c r="E91" t="s">
        <v>274</v>
      </c>
      <c r="F91" t="s">
        <v>489</v>
      </c>
      <c r="G91" t="s">
        <v>383</v>
      </c>
      <c r="H91">
        <v>340</v>
      </c>
      <c r="I91">
        <v>0</v>
      </c>
      <c r="J91">
        <v>190</v>
      </c>
      <c r="K91">
        <v>150</v>
      </c>
      <c r="L91">
        <v>96.67</v>
      </c>
      <c r="M91">
        <v>145</v>
      </c>
      <c r="N91" t="s">
        <v>450</v>
      </c>
      <c r="O91" t="s">
        <v>264</v>
      </c>
      <c r="P91" s="23">
        <v>45531</v>
      </c>
      <c r="Q91" s="23">
        <v>45559</v>
      </c>
      <c r="R91">
        <v>5</v>
      </c>
      <c r="S91" t="s">
        <v>327</v>
      </c>
      <c r="T91">
        <v>26</v>
      </c>
    </row>
    <row r="92" spans="1:20" x14ac:dyDescent="0.25">
      <c r="A92">
        <v>2024</v>
      </c>
      <c r="B92" t="s">
        <v>204</v>
      </c>
      <c r="C92" t="s">
        <v>490</v>
      </c>
      <c r="D92" t="s">
        <v>478</v>
      </c>
      <c r="E92" t="s">
        <v>274</v>
      </c>
      <c r="F92" t="s">
        <v>489</v>
      </c>
      <c r="H92">
        <v>472</v>
      </c>
      <c r="I92">
        <v>0</v>
      </c>
      <c r="J92">
        <v>174</v>
      </c>
      <c r="K92">
        <v>298</v>
      </c>
      <c r="L92">
        <v>93.4</v>
      </c>
      <c r="M92">
        <v>278</v>
      </c>
      <c r="N92" t="s">
        <v>450</v>
      </c>
      <c r="O92" t="s">
        <v>264</v>
      </c>
      <c r="P92" s="23">
        <v>45531</v>
      </c>
      <c r="Q92" s="23">
        <v>45559</v>
      </c>
      <c r="R92">
        <v>5</v>
      </c>
      <c r="S92" t="s">
        <v>327</v>
      </c>
      <c r="T92">
        <v>26</v>
      </c>
    </row>
    <row r="93" spans="1:20" x14ac:dyDescent="0.25">
      <c r="A93">
        <v>2024</v>
      </c>
      <c r="B93" t="s">
        <v>204</v>
      </c>
      <c r="C93" t="s">
        <v>239</v>
      </c>
      <c r="D93" t="s">
        <v>478</v>
      </c>
      <c r="E93" t="s">
        <v>274</v>
      </c>
      <c r="F93" t="s">
        <v>491</v>
      </c>
      <c r="H93">
        <v>12861</v>
      </c>
      <c r="I93">
        <v>0</v>
      </c>
      <c r="J93">
        <v>5673</v>
      </c>
      <c r="K93">
        <v>7188</v>
      </c>
      <c r="L93">
        <v>95</v>
      </c>
      <c r="M93">
        <v>6814</v>
      </c>
      <c r="N93" t="s">
        <v>492</v>
      </c>
      <c r="O93" t="s">
        <v>264</v>
      </c>
      <c r="P93" s="23">
        <v>45531</v>
      </c>
      <c r="Q93" s="23">
        <v>45559</v>
      </c>
      <c r="R93">
        <v>5</v>
      </c>
      <c r="S93" t="s">
        <v>327</v>
      </c>
      <c r="T93">
        <v>5</v>
      </c>
    </row>
    <row r="94" spans="1:20" x14ac:dyDescent="0.25">
      <c r="A94">
        <v>2024</v>
      </c>
      <c r="B94" t="s">
        <v>455</v>
      </c>
      <c r="C94" t="s">
        <v>493</v>
      </c>
      <c r="D94" t="s">
        <v>478</v>
      </c>
      <c r="E94" t="s">
        <v>494</v>
      </c>
      <c r="F94" t="s">
        <v>495</v>
      </c>
      <c r="G94" t="s">
        <v>329</v>
      </c>
      <c r="H94">
        <v>53326</v>
      </c>
      <c r="I94">
        <v>1196</v>
      </c>
      <c r="J94">
        <v>36388</v>
      </c>
      <c r="K94">
        <v>15742</v>
      </c>
      <c r="L94">
        <v>84.42</v>
      </c>
      <c r="M94">
        <v>13290</v>
      </c>
      <c r="N94" t="s">
        <v>496</v>
      </c>
      <c r="O94" t="s">
        <v>378</v>
      </c>
      <c r="P94" s="23">
        <v>45504</v>
      </c>
      <c r="Q94" s="23">
        <v>45576</v>
      </c>
      <c r="R94">
        <v>73</v>
      </c>
      <c r="S94" t="s">
        <v>379</v>
      </c>
      <c r="T94">
        <v>7</v>
      </c>
    </row>
    <row r="95" spans="1:20" x14ac:dyDescent="0.25">
      <c r="A95">
        <v>2024</v>
      </c>
      <c r="B95" t="s">
        <v>276</v>
      </c>
      <c r="C95" t="s">
        <v>278</v>
      </c>
      <c r="D95" t="s">
        <v>478</v>
      </c>
      <c r="E95" t="s">
        <v>277</v>
      </c>
      <c r="H95">
        <v>248</v>
      </c>
      <c r="I95">
        <v>0</v>
      </c>
      <c r="J95">
        <v>124</v>
      </c>
      <c r="K95">
        <v>124</v>
      </c>
      <c r="L95">
        <v>0</v>
      </c>
      <c r="M95">
        <v>0</v>
      </c>
      <c r="N95" t="s">
        <v>497</v>
      </c>
      <c r="O95" t="s">
        <v>264</v>
      </c>
      <c r="P95" s="23">
        <v>45544</v>
      </c>
      <c r="Q95" s="23">
        <v>45559</v>
      </c>
      <c r="R95">
        <v>3</v>
      </c>
      <c r="S95" t="s">
        <v>322</v>
      </c>
    </row>
    <row r="96" spans="1:20" x14ac:dyDescent="0.25">
      <c r="A96">
        <v>2024</v>
      </c>
      <c r="B96" t="s">
        <v>276</v>
      </c>
      <c r="C96" t="s">
        <v>498</v>
      </c>
      <c r="D96" t="s">
        <v>478</v>
      </c>
      <c r="E96" t="s">
        <v>277</v>
      </c>
      <c r="H96">
        <v>0</v>
      </c>
      <c r="I96">
        <v>0</v>
      </c>
      <c r="J96">
        <v>0</v>
      </c>
      <c r="K96">
        <v>0</v>
      </c>
      <c r="L96">
        <v>0</v>
      </c>
      <c r="M96">
        <v>0</v>
      </c>
      <c r="N96" t="s">
        <v>472</v>
      </c>
      <c r="O96" t="s">
        <v>264</v>
      </c>
      <c r="P96" s="23">
        <v>45529</v>
      </c>
      <c r="Q96" s="23">
        <v>45536</v>
      </c>
      <c r="R96">
        <v>2</v>
      </c>
      <c r="S96" t="s">
        <v>322</v>
      </c>
    </row>
    <row r="97" spans="1:20" x14ac:dyDescent="0.25">
      <c r="A97">
        <v>2024</v>
      </c>
      <c r="B97" t="s">
        <v>276</v>
      </c>
      <c r="C97" t="s">
        <v>499</v>
      </c>
      <c r="D97" t="s">
        <v>478</v>
      </c>
      <c r="E97" t="s">
        <v>277</v>
      </c>
      <c r="H97">
        <v>0</v>
      </c>
      <c r="I97">
        <v>0</v>
      </c>
      <c r="J97">
        <v>0</v>
      </c>
      <c r="K97">
        <v>0</v>
      </c>
      <c r="L97">
        <v>0</v>
      </c>
      <c r="M97">
        <v>0</v>
      </c>
      <c r="N97" t="s">
        <v>472</v>
      </c>
      <c r="O97" t="s">
        <v>264</v>
      </c>
      <c r="P97" s="23">
        <v>45529</v>
      </c>
      <c r="Q97" s="23">
        <v>45536</v>
      </c>
      <c r="R97">
        <v>2</v>
      </c>
      <c r="S97" t="s">
        <v>322</v>
      </c>
    </row>
    <row r="98" spans="1:20" x14ac:dyDescent="0.25">
      <c r="A98">
        <v>2024</v>
      </c>
      <c r="B98" t="s">
        <v>241</v>
      </c>
      <c r="C98" t="s">
        <v>243</v>
      </c>
      <c r="D98" t="s">
        <v>478</v>
      </c>
      <c r="E98" t="s">
        <v>500</v>
      </c>
      <c r="F98" t="s">
        <v>501</v>
      </c>
      <c r="H98">
        <v>1030</v>
      </c>
      <c r="I98">
        <v>0</v>
      </c>
      <c r="J98">
        <v>360</v>
      </c>
      <c r="K98">
        <v>670</v>
      </c>
      <c r="L98">
        <v>90.33</v>
      </c>
      <c r="M98">
        <v>605</v>
      </c>
      <c r="N98" t="s">
        <v>502</v>
      </c>
      <c r="O98" t="s">
        <v>264</v>
      </c>
      <c r="P98" s="23">
        <v>45546</v>
      </c>
      <c r="Q98" s="23">
        <v>45563</v>
      </c>
      <c r="R98">
        <v>3</v>
      </c>
      <c r="S98" t="s">
        <v>327</v>
      </c>
    </row>
    <row r="99" spans="1:20" x14ac:dyDescent="0.25">
      <c r="A99">
        <v>2024</v>
      </c>
      <c r="B99" t="s">
        <v>241</v>
      </c>
      <c r="C99" t="s">
        <v>503</v>
      </c>
      <c r="D99" t="s">
        <v>478</v>
      </c>
      <c r="E99" t="s">
        <v>504</v>
      </c>
      <c r="H99">
        <v>0</v>
      </c>
      <c r="I99">
        <v>0</v>
      </c>
      <c r="J99">
        <v>0</v>
      </c>
      <c r="K99">
        <v>0</v>
      </c>
      <c r="L99">
        <v>0</v>
      </c>
      <c r="M99">
        <v>0</v>
      </c>
      <c r="N99" t="s">
        <v>505</v>
      </c>
      <c r="O99" t="s">
        <v>264</v>
      </c>
      <c r="P99" s="23">
        <v>45553</v>
      </c>
      <c r="Q99" s="23">
        <v>45563</v>
      </c>
      <c r="R99">
        <v>2</v>
      </c>
      <c r="S99" t="s">
        <v>322</v>
      </c>
    </row>
    <row r="100" spans="1:20" x14ac:dyDescent="0.25">
      <c r="A100">
        <v>2024</v>
      </c>
      <c r="B100" t="s">
        <v>241</v>
      </c>
      <c r="C100" t="s">
        <v>248</v>
      </c>
      <c r="D100" t="s">
        <v>478</v>
      </c>
      <c r="E100" t="s">
        <v>277</v>
      </c>
      <c r="F100" t="s">
        <v>506</v>
      </c>
      <c r="H100">
        <v>947</v>
      </c>
      <c r="I100">
        <v>0</v>
      </c>
      <c r="J100">
        <v>331</v>
      </c>
      <c r="K100">
        <v>616</v>
      </c>
      <c r="L100">
        <v>90.33</v>
      </c>
      <c r="M100">
        <v>556</v>
      </c>
      <c r="N100" t="s">
        <v>507</v>
      </c>
      <c r="O100" t="s">
        <v>264</v>
      </c>
      <c r="P100" s="23">
        <v>45553</v>
      </c>
      <c r="Q100" s="23">
        <v>45563</v>
      </c>
      <c r="R100">
        <v>2</v>
      </c>
      <c r="S100" t="s">
        <v>322</v>
      </c>
    </row>
    <row r="101" spans="1:20" x14ac:dyDescent="0.25">
      <c r="A101">
        <v>2024</v>
      </c>
      <c r="B101" t="s">
        <v>241</v>
      </c>
      <c r="C101" t="s">
        <v>508</v>
      </c>
      <c r="D101" t="s">
        <v>478</v>
      </c>
      <c r="E101" t="s">
        <v>509</v>
      </c>
      <c r="H101">
        <v>0</v>
      </c>
      <c r="I101">
        <v>0</v>
      </c>
      <c r="J101">
        <v>0</v>
      </c>
      <c r="K101">
        <v>0</v>
      </c>
      <c r="L101">
        <v>0</v>
      </c>
      <c r="M101">
        <v>0</v>
      </c>
      <c r="N101" t="s">
        <v>337</v>
      </c>
      <c r="O101" t="s">
        <v>264</v>
      </c>
      <c r="P101" s="23">
        <v>45529</v>
      </c>
      <c r="Q101" s="23">
        <v>45564</v>
      </c>
      <c r="R101">
        <v>2</v>
      </c>
      <c r="S101" t="s">
        <v>322</v>
      </c>
      <c r="T101">
        <v>6</v>
      </c>
    </row>
    <row r="102" spans="1:20" x14ac:dyDescent="0.25">
      <c r="A102">
        <v>2024</v>
      </c>
      <c r="B102" t="s">
        <v>241</v>
      </c>
      <c r="C102" t="s">
        <v>510</v>
      </c>
      <c r="D102" t="s">
        <v>478</v>
      </c>
      <c r="E102" t="s">
        <v>509</v>
      </c>
      <c r="H102">
        <v>0</v>
      </c>
      <c r="I102">
        <v>0</v>
      </c>
      <c r="J102">
        <v>0</v>
      </c>
      <c r="K102">
        <v>0</v>
      </c>
      <c r="L102">
        <v>0</v>
      </c>
      <c r="M102">
        <v>0</v>
      </c>
      <c r="N102" t="s">
        <v>335</v>
      </c>
      <c r="O102" t="s">
        <v>264</v>
      </c>
      <c r="P102" s="23">
        <v>45529</v>
      </c>
      <c r="Q102" s="23">
        <v>45564</v>
      </c>
      <c r="R102">
        <v>5</v>
      </c>
      <c r="S102" t="s">
        <v>327</v>
      </c>
      <c r="T102">
        <v>6</v>
      </c>
    </row>
    <row r="103" spans="1:20" x14ac:dyDescent="0.25">
      <c r="A103">
        <v>2024</v>
      </c>
      <c r="B103" t="s">
        <v>241</v>
      </c>
      <c r="C103" t="s">
        <v>511</v>
      </c>
      <c r="D103" t="s">
        <v>478</v>
      </c>
      <c r="E103" t="s">
        <v>509</v>
      </c>
      <c r="H103">
        <v>0</v>
      </c>
      <c r="I103">
        <v>0</v>
      </c>
      <c r="J103">
        <v>0</v>
      </c>
      <c r="K103">
        <v>0</v>
      </c>
      <c r="L103">
        <v>0</v>
      </c>
      <c r="M103">
        <v>0</v>
      </c>
      <c r="N103" t="s">
        <v>461</v>
      </c>
      <c r="O103" t="s">
        <v>264</v>
      </c>
      <c r="P103" s="23">
        <v>45558</v>
      </c>
      <c r="Q103" s="23">
        <v>45558</v>
      </c>
      <c r="R103">
        <v>1</v>
      </c>
      <c r="S103" t="s">
        <v>322</v>
      </c>
      <c r="T103">
        <v>6</v>
      </c>
    </row>
    <row r="104" spans="1:20" x14ac:dyDescent="0.25">
      <c r="A104">
        <v>2024</v>
      </c>
      <c r="B104" t="s">
        <v>241</v>
      </c>
      <c r="C104" t="s">
        <v>253</v>
      </c>
      <c r="D104" t="s">
        <v>478</v>
      </c>
      <c r="E104" t="s">
        <v>509</v>
      </c>
      <c r="F104" t="s">
        <v>512</v>
      </c>
      <c r="G104" t="s">
        <v>398</v>
      </c>
      <c r="H104">
        <v>83</v>
      </c>
      <c r="I104">
        <v>0</v>
      </c>
      <c r="J104">
        <v>29</v>
      </c>
      <c r="K104">
        <v>54</v>
      </c>
      <c r="L104">
        <v>90.33</v>
      </c>
      <c r="M104">
        <v>49</v>
      </c>
      <c r="N104" t="s">
        <v>513</v>
      </c>
      <c r="O104" t="s">
        <v>264</v>
      </c>
      <c r="P104" s="23">
        <v>45530</v>
      </c>
      <c r="Q104" s="23">
        <v>45565</v>
      </c>
      <c r="R104">
        <v>6</v>
      </c>
      <c r="S104" t="s">
        <v>327</v>
      </c>
      <c r="T104">
        <v>6</v>
      </c>
    </row>
    <row r="105" spans="1:20" x14ac:dyDescent="0.25">
      <c r="A105">
        <v>2024</v>
      </c>
      <c r="B105" t="s">
        <v>241</v>
      </c>
      <c r="C105" t="s">
        <v>257</v>
      </c>
      <c r="D105" t="s">
        <v>478</v>
      </c>
      <c r="E105" t="s">
        <v>509</v>
      </c>
      <c r="F105" t="s">
        <v>514</v>
      </c>
      <c r="G105" t="s">
        <v>515</v>
      </c>
      <c r="H105">
        <v>5710</v>
      </c>
      <c r="I105">
        <v>0</v>
      </c>
      <c r="J105">
        <v>1929</v>
      </c>
      <c r="K105">
        <v>3781</v>
      </c>
      <c r="L105">
        <v>83.33</v>
      </c>
      <c r="M105">
        <v>3151</v>
      </c>
      <c r="N105" t="s">
        <v>516</v>
      </c>
      <c r="O105" t="s">
        <v>264</v>
      </c>
      <c r="P105" s="23">
        <v>45525</v>
      </c>
      <c r="Q105" s="23">
        <v>45569</v>
      </c>
      <c r="R105">
        <v>7</v>
      </c>
      <c r="S105" t="s">
        <v>327</v>
      </c>
      <c r="T105">
        <v>6</v>
      </c>
    </row>
    <row r="106" spans="1:20" x14ac:dyDescent="0.25">
      <c r="A106">
        <v>2024</v>
      </c>
      <c r="B106" t="s">
        <v>241</v>
      </c>
      <c r="C106" t="s">
        <v>260</v>
      </c>
      <c r="D106" t="s">
        <v>478</v>
      </c>
      <c r="E106" t="s">
        <v>509</v>
      </c>
      <c r="F106" t="s">
        <v>517</v>
      </c>
      <c r="G106" t="s">
        <v>398</v>
      </c>
      <c r="H106">
        <v>2943</v>
      </c>
      <c r="I106">
        <v>0</v>
      </c>
      <c r="J106">
        <v>1069</v>
      </c>
      <c r="K106">
        <v>1874</v>
      </c>
      <c r="L106">
        <v>98.72</v>
      </c>
      <c r="M106">
        <v>1850</v>
      </c>
      <c r="N106" t="s">
        <v>518</v>
      </c>
      <c r="O106" t="s">
        <v>264</v>
      </c>
      <c r="P106" s="23">
        <v>45526</v>
      </c>
      <c r="Q106" s="23">
        <v>45575</v>
      </c>
      <c r="R106">
        <v>8</v>
      </c>
      <c r="S106" t="s">
        <v>327</v>
      </c>
      <c r="T106">
        <v>6</v>
      </c>
    </row>
    <row r="107" spans="1:20" x14ac:dyDescent="0.25">
      <c r="A107">
        <v>2024</v>
      </c>
      <c r="B107" t="s">
        <v>241</v>
      </c>
      <c r="C107" t="s">
        <v>519</v>
      </c>
      <c r="D107" t="s">
        <v>478</v>
      </c>
      <c r="E107" t="s">
        <v>509</v>
      </c>
      <c r="H107">
        <v>0</v>
      </c>
      <c r="I107">
        <v>0</v>
      </c>
      <c r="J107">
        <v>0</v>
      </c>
      <c r="K107">
        <v>0</v>
      </c>
      <c r="L107">
        <v>0</v>
      </c>
      <c r="M107">
        <v>0</v>
      </c>
      <c r="N107" t="s">
        <v>426</v>
      </c>
      <c r="O107" t="s">
        <v>264</v>
      </c>
      <c r="P107" s="23">
        <v>45529</v>
      </c>
      <c r="Q107" s="23">
        <v>45529</v>
      </c>
      <c r="R107">
        <v>1</v>
      </c>
      <c r="S107" t="s">
        <v>322</v>
      </c>
      <c r="T107">
        <v>6</v>
      </c>
    </row>
    <row r="108" spans="1:20" x14ac:dyDescent="0.25">
      <c r="A108">
        <v>2024</v>
      </c>
      <c r="B108" t="s">
        <v>241</v>
      </c>
      <c r="C108" t="s">
        <v>520</v>
      </c>
      <c r="D108" t="s">
        <v>478</v>
      </c>
      <c r="E108" t="s">
        <v>509</v>
      </c>
      <c r="H108">
        <v>0</v>
      </c>
      <c r="I108">
        <v>0</v>
      </c>
      <c r="J108">
        <v>0</v>
      </c>
      <c r="K108">
        <v>0</v>
      </c>
      <c r="L108">
        <v>0</v>
      </c>
      <c r="M108">
        <v>0</v>
      </c>
      <c r="N108" t="s">
        <v>335</v>
      </c>
      <c r="O108" t="s">
        <v>264</v>
      </c>
      <c r="P108" s="23">
        <v>45528</v>
      </c>
      <c r="Q108" s="23">
        <v>45556</v>
      </c>
      <c r="R108">
        <v>5</v>
      </c>
      <c r="S108" t="s">
        <v>327</v>
      </c>
      <c r="T108">
        <v>6</v>
      </c>
    </row>
    <row r="109" spans="1:20" x14ac:dyDescent="0.25">
      <c r="A109">
        <v>2024</v>
      </c>
      <c r="B109" t="s">
        <v>241</v>
      </c>
      <c r="C109" t="s">
        <v>265</v>
      </c>
      <c r="D109" t="s">
        <v>478</v>
      </c>
      <c r="E109" t="s">
        <v>509</v>
      </c>
      <c r="F109" t="s">
        <v>521</v>
      </c>
      <c r="G109" t="s">
        <v>398</v>
      </c>
      <c r="H109">
        <v>571</v>
      </c>
      <c r="I109">
        <v>0</v>
      </c>
      <c r="J109">
        <v>199</v>
      </c>
      <c r="K109">
        <v>372</v>
      </c>
      <c r="L109">
        <v>90.33</v>
      </c>
      <c r="M109">
        <v>336</v>
      </c>
      <c r="N109" t="s">
        <v>522</v>
      </c>
      <c r="O109" t="s">
        <v>264</v>
      </c>
      <c r="P109" s="23">
        <v>45532</v>
      </c>
      <c r="Q109" s="23">
        <v>45567</v>
      </c>
      <c r="R109">
        <v>7</v>
      </c>
      <c r="S109" t="s">
        <v>327</v>
      </c>
      <c r="T109">
        <v>6</v>
      </c>
    </row>
    <row r="110" spans="1:20" x14ac:dyDescent="0.25">
      <c r="A110">
        <v>2024</v>
      </c>
      <c r="B110" t="s">
        <v>241</v>
      </c>
      <c r="C110" t="s">
        <v>523</v>
      </c>
      <c r="D110" t="s">
        <v>478</v>
      </c>
      <c r="E110" t="s">
        <v>509</v>
      </c>
      <c r="H110">
        <v>0</v>
      </c>
      <c r="I110">
        <v>0</v>
      </c>
      <c r="J110">
        <v>0</v>
      </c>
      <c r="K110">
        <v>0</v>
      </c>
      <c r="L110">
        <v>0</v>
      </c>
      <c r="M110">
        <v>0</v>
      </c>
      <c r="N110" t="s">
        <v>461</v>
      </c>
      <c r="O110" t="s">
        <v>264</v>
      </c>
      <c r="P110" s="23">
        <v>45558</v>
      </c>
      <c r="Q110" s="23">
        <v>45558</v>
      </c>
      <c r="R110">
        <v>1</v>
      </c>
      <c r="S110" t="s">
        <v>322</v>
      </c>
      <c r="T110">
        <v>6</v>
      </c>
    </row>
    <row r="111" spans="1:20" x14ac:dyDescent="0.25">
      <c r="A111">
        <v>2024</v>
      </c>
      <c r="B111" t="s">
        <v>241</v>
      </c>
      <c r="C111" t="s">
        <v>524</v>
      </c>
      <c r="D111" t="s">
        <v>478</v>
      </c>
      <c r="E111" t="s">
        <v>509</v>
      </c>
      <c r="H111">
        <v>0</v>
      </c>
      <c r="I111">
        <v>0</v>
      </c>
      <c r="J111">
        <v>0</v>
      </c>
      <c r="K111">
        <v>0</v>
      </c>
      <c r="L111">
        <v>0</v>
      </c>
      <c r="M111">
        <v>0</v>
      </c>
      <c r="N111" t="s">
        <v>337</v>
      </c>
      <c r="O111" t="s">
        <v>264</v>
      </c>
      <c r="P111" s="23">
        <v>45530</v>
      </c>
      <c r="Q111" s="23">
        <v>45558</v>
      </c>
      <c r="R111">
        <v>2</v>
      </c>
      <c r="S111" t="s">
        <v>322</v>
      </c>
      <c r="T111">
        <v>6</v>
      </c>
    </row>
    <row r="112" spans="1:20" x14ac:dyDescent="0.25">
      <c r="A112">
        <v>2024</v>
      </c>
      <c r="B112" t="s">
        <v>241</v>
      </c>
      <c r="C112" t="s">
        <v>268</v>
      </c>
      <c r="D112" t="s">
        <v>478</v>
      </c>
      <c r="E112" t="s">
        <v>509</v>
      </c>
      <c r="G112" t="s">
        <v>525</v>
      </c>
      <c r="H112">
        <v>58</v>
      </c>
      <c r="I112">
        <v>0</v>
      </c>
      <c r="J112">
        <v>20</v>
      </c>
      <c r="K112">
        <v>38</v>
      </c>
      <c r="L112">
        <v>90.33</v>
      </c>
      <c r="M112">
        <v>34</v>
      </c>
      <c r="N112" t="s">
        <v>526</v>
      </c>
      <c r="O112" t="s">
        <v>264</v>
      </c>
      <c r="P112" s="23">
        <v>45529</v>
      </c>
      <c r="Q112" s="23">
        <v>45564</v>
      </c>
      <c r="R112">
        <v>6</v>
      </c>
      <c r="S112" t="s">
        <v>327</v>
      </c>
      <c r="T112">
        <v>6</v>
      </c>
    </row>
    <row r="113" spans="1:20" x14ac:dyDescent="0.25">
      <c r="A113">
        <v>2024</v>
      </c>
      <c r="B113" t="s">
        <v>241</v>
      </c>
      <c r="C113" t="s">
        <v>527</v>
      </c>
      <c r="D113" t="s">
        <v>478</v>
      </c>
      <c r="E113" t="s">
        <v>509</v>
      </c>
      <c r="H113">
        <v>0</v>
      </c>
      <c r="I113">
        <v>0</v>
      </c>
      <c r="J113">
        <v>0</v>
      </c>
      <c r="K113">
        <v>0</v>
      </c>
      <c r="L113">
        <v>0</v>
      </c>
      <c r="M113">
        <v>0</v>
      </c>
      <c r="N113" t="s">
        <v>326</v>
      </c>
      <c r="O113" t="s">
        <v>264</v>
      </c>
      <c r="P113" s="23">
        <v>45530</v>
      </c>
      <c r="Q113" s="23">
        <v>45565</v>
      </c>
      <c r="R113">
        <v>6</v>
      </c>
      <c r="S113" t="s">
        <v>327</v>
      </c>
      <c r="T113">
        <v>6</v>
      </c>
    </row>
    <row r="114" spans="1:20" x14ac:dyDescent="0.25">
      <c r="A114">
        <v>2024</v>
      </c>
      <c r="B114" t="s">
        <v>241</v>
      </c>
      <c r="C114" t="s">
        <v>528</v>
      </c>
      <c r="D114" t="s">
        <v>478</v>
      </c>
      <c r="E114" t="s">
        <v>509</v>
      </c>
      <c r="H114">
        <v>0</v>
      </c>
      <c r="I114">
        <v>0</v>
      </c>
      <c r="J114">
        <v>0</v>
      </c>
      <c r="K114">
        <v>0</v>
      </c>
      <c r="L114">
        <v>0</v>
      </c>
      <c r="M114">
        <v>0</v>
      </c>
      <c r="N114" t="s">
        <v>435</v>
      </c>
      <c r="O114" t="s">
        <v>264</v>
      </c>
      <c r="P114" s="23">
        <v>45537</v>
      </c>
      <c r="Q114" s="23">
        <v>45565</v>
      </c>
      <c r="R114">
        <v>4</v>
      </c>
      <c r="S114" t="s">
        <v>322</v>
      </c>
      <c r="T114">
        <v>6</v>
      </c>
    </row>
    <row r="115" spans="1:20" x14ac:dyDescent="0.25">
      <c r="A115">
        <v>2024</v>
      </c>
      <c r="B115" t="s">
        <v>199</v>
      </c>
      <c r="C115" t="s">
        <v>235</v>
      </c>
      <c r="D115" t="s">
        <v>478</v>
      </c>
      <c r="E115" t="s">
        <v>529</v>
      </c>
      <c r="F115" t="s">
        <v>530</v>
      </c>
      <c r="G115" t="s">
        <v>531</v>
      </c>
      <c r="H115">
        <v>65165</v>
      </c>
      <c r="I115">
        <v>5</v>
      </c>
      <c r="J115">
        <v>33753</v>
      </c>
      <c r="K115">
        <v>31407</v>
      </c>
      <c r="L115">
        <v>99.21</v>
      </c>
      <c r="M115">
        <v>31136</v>
      </c>
      <c r="N115" t="s">
        <v>532</v>
      </c>
      <c r="O115" t="s">
        <v>378</v>
      </c>
      <c r="P115" s="23">
        <v>45498</v>
      </c>
      <c r="Q115" s="23">
        <v>45572</v>
      </c>
      <c r="R115">
        <v>75</v>
      </c>
      <c r="S115" t="s">
        <v>445</v>
      </c>
      <c r="T115">
        <v>3</v>
      </c>
    </row>
    <row r="116" spans="1:20" x14ac:dyDescent="0.25">
      <c r="A116">
        <v>2024</v>
      </c>
      <c r="B116" t="s">
        <v>199</v>
      </c>
      <c r="C116" t="s">
        <v>533</v>
      </c>
      <c r="D116" t="s">
        <v>478</v>
      </c>
      <c r="E116" t="s">
        <v>476</v>
      </c>
      <c r="H116">
        <v>0</v>
      </c>
      <c r="I116">
        <v>0</v>
      </c>
      <c r="J116">
        <v>0</v>
      </c>
      <c r="K116">
        <v>0</v>
      </c>
      <c r="L116">
        <v>0</v>
      </c>
      <c r="M116">
        <v>0</v>
      </c>
      <c r="N116" t="s">
        <v>534</v>
      </c>
      <c r="O116" t="s">
        <v>264</v>
      </c>
      <c r="P116" s="23">
        <v>45547</v>
      </c>
      <c r="Q116" s="23">
        <v>45559</v>
      </c>
      <c r="R116">
        <v>3</v>
      </c>
      <c r="S116" t="s">
        <v>322</v>
      </c>
    </row>
    <row r="117" spans="1:20" x14ac:dyDescent="0.25">
      <c r="A117">
        <v>2024</v>
      </c>
      <c r="B117" t="s">
        <v>213</v>
      </c>
      <c r="C117" t="s">
        <v>216</v>
      </c>
      <c r="D117" t="s">
        <v>478</v>
      </c>
      <c r="E117" t="s">
        <v>535</v>
      </c>
      <c r="F117" t="s">
        <v>536</v>
      </c>
      <c r="G117" t="s">
        <v>383</v>
      </c>
      <c r="H117">
        <v>88</v>
      </c>
      <c r="I117">
        <v>0</v>
      </c>
      <c r="J117">
        <v>55</v>
      </c>
      <c r="K117">
        <v>33</v>
      </c>
      <c r="L117">
        <v>99.15</v>
      </c>
      <c r="M117">
        <v>33</v>
      </c>
      <c r="N117" t="s">
        <v>537</v>
      </c>
      <c r="O117" t="s">
        <v>264</v>
      </c>
      <c r="P117" s="23">
        <v>45543</v>
      </c>
      <c r="Q117" s="23">
        <v>45567</v>
      </c>
      <c r="R117">
        <v>7</v>
      </c>
      <c r="S117" t="s">
        <v>327</v>
      </c>
      <c r="T117">
        <v>2</v>
      </c>
    </row>
    <row r="118" spans="1:20" x14ac:dyDescent="0.25">
      <c r="A118">
        <v>2024</v>
      </c>
      <c r="B118" t="s">
        <v>213</v>
      </c>
      <c r="C118" t="s">
        <v>218</v>
      </c>
      <c r="D118" t="s">
        <v>478</v>
      </c>
      <c r="E118" t="s">
        <v>535</v>
      </c>
      <c r="F118" t="s">
        <v>462</v>
      </c>
      <c r="G118" t="s">
        <v>383</v>
      </c>
      <c r="H118">
        <v>2950</v>
      </c>
      <c r="I118">
        <v>0</v>
      </c>
      <c r="J118">
        <v>1231</v>
      </c>
      <c r="K118">
        <v>1719</v>
      </c>
      <c r="L118">
        <v>97.97</v>
      </c>
      <c r="M118">
        <v>1684</v>
      </c>
      <c r="N118" t="s">
        <v>538</v>
      </c>
      <c r="O118" t="s">
        <v>264</v>
      </c>
      <c r="P118" s="23">
        <v>45541</v>
      </c>
      <c r="Q118" s="23">
        <v>45573</v>
      </c>
      <c r="R118">
        <v>9</v>
      </c>
      <c r="S118" t="s">
        <v>327</v>
      </c>
      <c r="T118">
        <v>2</v>
      </c>
    </row>
    <row r="119" spans="1:20" x14ac:dyDescent="0.25">
      <c r="A119">
        <v>2024</v>
      </c>
      <c r="B119" t="s">
        <v>213</v>
      </c>
      <c r="C119" t="s">
        <v>222</v>
      </c>
      <c r="D119" t="s">
        <v>478</v>
      </c>
      <c r="E119" t="s">
        <v>535</v>
      </c>
      <c r="F119" t="s">
        <v>539</v>
      </c>
      <c r="G119" t="s">
        <v>453</v>
      </c>
      <c r="H119">
        <v>14688</v>
      </c>
      <c r="I119">
        <v>179</v>
      </c>
      <c r="J119">
        <v>9292</v>
      </c>
      <c r="K119">
        <v>5217</v>
      </c>
      <c r="L119">
        <v>99.32</v>
      </c>
      <c r="M119">
        <v>5181</v>
      </c>
      <c r="N119" t="s">
        <v>540</v>
      </c>
      <c r="O119" t="s">
        <v>264</v>
      </c>
      <c r="P119" s="23">
        <v>45543</v>
      </c>
      <c r="Q119" s="23">
        <v>45579</v>
      </c>
      <c r="R119">
        <v>11</v>
      </c>
      <c r="S119" t="s">
        <v>327</v>
      </c>
      <c r="T119">
        <v>2</v>
      </c>
    </row>
    <row r="120" spans="1:20" x14ac:dyDescent="0.25">
      <c r="A120">
        <v>2024</v>
      </c>
      <c r="B120" t="s">
        <v>213</v>
      </c>
      <c r="C120" t="s">
        <v>227</v>
      </c>
      <c r="D120" t="s">
        <v>478</v>
      </c>
      <c r="E120" t="s">
        <v>535</v>
      </c>
      <c r="F120" t="s">
        <v>541</v>
      </c>
      <c r="G120" t="s">
        <v>398</v>
      </c>
      <c r="H120">
        <v>666</v>
      </c>
      <c r="I120">
        <v>0</v>
      </c>
      <c r="J120">
        <v>419</v>
      </c>
      <c r="K120">
        <v>247</v>
      </c>
      <c r="L120">
        <v>99.15</v>
      </c>
      <c r="M120">
        <v>245</v>
      </c>
      <c r="N120" t="s">
        <v>542</v>
      </c>
      <c r="O120" t="s">
        <v>264</v>
      </c>
      <c r="P120" s="23">
        <v>45540</v>
      </c>
      <c r="Q120" s="23">
        <v>45576</v>
      </c>
      <c r="R120">
        <v>10</v>
      </c>
      <c r="S120" t="s">
        <v>327</v>
      </c>
      <c r="T120">
        <v>2</v>
      </c>
    </row>
    <row r="121" spans="1:20" x14ac:dyDescent="0.25">
      <c r="A121">
        <v>2024</v>
      </c>
      <c r="B121" t="s">
        <v>213</v>
      </c>
      <c r="C121" t="s">
        <v>230</v>
      </c>
      <c r="D121" t="s">
        <v>478</v>
      </c>
      <c r="E121" t="s">
        <v>535</v>
      </c>
      <c r="F121" t="s">
        <v>539</v>
      </c>
      <c r="G121" t="s">
        <v>383</v>
      </c>
      <c r="H121">
        <v>28143</v>
      </c>
      <c r="I121">
        <v>110</v>
      </c>
      <c r="J121">
        <v>17626</v>
      </c>
      <c r="K121">
        <v>10407</v>
      </c>
      <c r="L121">
        <v>98.89</v>
      </c>
      <c r="M121">
        <v>10291</v>
      </c>
      <c r="N121" t="s">
        <v>543</v>
      </c>
      <c r="O121" t="s">
        <v>264</v>
      </c>
      <c r="P121" s="23">
        <v>45542</v>
      </c>
      <c r="Q121" s="23">
        <v>45578</v>
      </c>
      <c r="R121">
        <v>10</v>
      </c>
      <c r="S121" t="s">
        <v>327</v>
      </c>
      <c r="T121">
        <v>2</v>
      </c>
    </row>
    <row r="122" spans="1:20" x14ac:dyDescent="0.25">
      <c r="A122">
        <v>2024</v>
      </c>
      <c r="B122" t="s">
        <v>295</v>
      </c>
      <c r="C122" t="s">
        <v>544</v>
      </c>
      <c r="D122" t="s">
        <v>545</v>
      </c>
      <c r="E122" t="s">
        <v>296</v>
      </c>
      <c r="F122" t="s">
        <v>546</v>
      </c>
      <c r="G122" t="s">
        <v>515</v>
      </c>
      <c r="H122">
        <v>28619</v>
      </c>
      <c r="I122">
        <v>676</v>
      </c>
      <c r="J122">
        <v>12985</v>
      </c>
      <c r="K122">
        <v>14958</v>
      </c>
      <c r="L122">
        <v>90.34</v>
      </c>
      <c r="M122">
        <v>13513</v>
      </c>
      <c r="N122" t="s">
        <v>547</v>
      </c>
      <c r="O122" t="s">
        <v>378</v>
      </c>
      <c r="P122" s="23">
        <v>45518</v>
      </c>
      <c r="Q122" s="23">
        <v>45563</v>
      </c>
      <c r="R122">
        <v>46</v>
      </c>
      <c r="S122" t="s">
        <v>445</v>
      </c>
      <c r="T122">
        <v>10</v>
      </c>
    </row>
    <row r="123" spans="1:20" x14ac:dyDescent="0.25">
      <c r="A123">
        <v>2024</v>
      </c>
      <c r="B123" t="s">
        <v>295</v>
      </c>
      <c r="C123" t="s">
        <v>297</v>
      </c>
      <c r="D123" t="s">
        <v>545</v>
      </c>
      <c r="E123" t="s">
        <v>296</v>
      </c>
      <c r="F123" t="s">
        <v>548</v>
      </c>
      <c r="G123" t="s">
        <v>453</v>
      </c>
      <c r="H123">
        <v>646</v>
      </c>
      <c r="I123">
        <v>15</v>
      </c>
      <c r="J123">
        <v>293</v>
      </c>
      <c r="K123">
        <v>338</v>
      </c>
      <c r="L123">
        <v>90.35</v>
      </c>
      <c r="M123">
        <v>305</v>
      </c>
      <c r="N123" t="s">
        <v>549</v>
      </c>
      <c r="O123" t="s">
        <v>264</v>
      </c>
      <c r="P123" s="23">
        <v>45532</v>
      </c>
      <c r="Q123" s="23">
        <v>45560</v>
      </c>
      <c r="R123">
        <v>5</v>
      </c>
      <c r="S123" t="s">
        <v>327</v>
      </c>
      <c r="T123">
        <v>28</v>
      </c>
    </row>
    <row r="124" spans="1:20" x14ac:dyDescent="0.25">
      <c r="A124">
        <v>2024</v>
      </c>
      <c r="B124" t="s">
        <v>295</v>
      </c>
      <c r="C124" t="s">
        <v>550</v>
      </c>
      <c r="D124" t="s">
        <v>545</v>
      </c>
      <c r="E124" t="s">
        <v>296</v>
      </c>
      <c r="H124">
        <v>0</v>
      </c>
      <c r="I124">
        <v>0</v>
      </c>
      <c r="J124">
        <v>0</v>
      </c>
      <c r="K124">
        <v>0</v>
      </c>
      <c r="L124">
        <v>0</v>
      </c>
      <c r="M124">
        <v>0</v>
      </c>
      <c r="N124" t="s">
        <v>426</v>
      </c>
      <c r="O124" t="s">
        <v>264</v>
      </c>
      <c r="P124" s="23">
        <v>45557</v>
      </c>
      <c r="Q124" s="23">
        <v>45557</v>
      </c>
      <c r="R124">
        <v>1</v>
      </c>
      <c r="S124" t="s">
        <v>322</v>
      </c>
      <c r="T124">
        <v>28</v>
      </c>
    </row>
    <row r="125" spans="1:20" x14ac:dyDescent="0.25">
      <c r="A125">
        <v>2024</v>
      </c>
      <c r="B125" t="s">
        <v>295</v>
      </c>
      <c r="C125" t="s">
        <v>551</v>
      </c>
      <c r="D125" t="s">
        <v>545</v>
      </c>
      <c r="E125" t="s">
        <v>296</v>
      </c>
      <c r="H125">
        <v>0</v>
      </c>
      <c r="I125">
        <v>0</v>
      </c>
      <c r="J125">
        <v>0</v>
      </c>
      <c r="K125">
        <v>0</v>
      </c>
      <c r="L125">
        <v>0</v>
      </c>
      <c r="M125">
        <v>0</v>
      </c>
      <c r="N125" t="s">
        <v>552</v>
      </c>
      <c r="O125" t="s">
        <v>264</v>
      </c>
      <c r="P125" s="23">
        <v>45557</v>
      </c>
      <c r="Q125" s="23">
        <v>45557</v>
      </c>
      <c r="R125">
        <v>1</v>
      </c>
      <c r="S125" t="s">
        <v>322</v>
      </c>
      <c r="T125">
        <v>10</v>
      </c>
    </row>
    <row r="126" spans="1:20" x14ac:dyDescent="0.25">
      <c r="A126">
        <v>2024</v>
      </c>
      <c r="B126" t="s">
        <v>295</v>
      </c>
      <c r="C126" t="s">
        <v>553</v>
      </c>
      <c r="D126" t="s">
        <v>545</v>
      </c>
      <c r="E126" t="s">
        <v>296</v>
      </c>
      <c r="H126">
        <v>0</v>
      </c>
      <c r="I126">
        <v>0</v>
      </c>
      <c r="J126">
        <v>0</v>
      </c>
      <c r="K126">
        <v>0</v>
      </c>
      <c r="L126">
        <v>0</v>
      </c>
      <c r="M126">
        <v>0</v>
      </c>
      <c r="N126" t="s">
        <v>554</v>
      </c>
      <c r="O126" t="s">
        <v>264</v>
      </c>
      <c r="P126" s="23">
        <v>45546</v>
      </c>
      <c r="Q126" s="23">
        <v>45564</v>
      </c>
      <c r="R126">
        <v>3</v>
      </c>
      <c r="S126" t="s">
        <v>322</v>
      </c>
      <c r="T126">
        <v>28</v>
      </c>
    </row>
    <row r="127" spans="1:20" x14ac:dyDescent="0.25">
      <c r="A127">
        <v>2024</v>
      </c>
      <c r="B127" t="s">
        <v>295</v>
      </c>
      <c r="C127" t="s">
        <v>555</v>
      </c>
      <c r="D127" t="s">
        <v>545</v>
      </c>
      <c r="E127" t="s">
        <v>296</v>
      </c>
      <c r="H127">
        <v>0</v>
      </c>
      <c r="I127">
        <v>0</v>
      </c>
      <c r="J127">
        <v>0</v>
      </c>
      <c r="K127">
        <v>0</v>
      </c>
      <c r="L127">
        <v>0</v>
      </c>
      <c r="M127">
        <v>0</v>
      </c>
      <c r="N127" t="s">
        <v>414</v>
      </c>
      <c r="O127" t="s">
        <v>264</v>
      </c>
      <c r="P127" s="23">
        <v>45526</v>
      </c>
      <c r="Q127" s="23">
        <v>45540</v>
      </c>
      <c r="R127">
        <v>3</v>
      </c>
      <c r="S127" t="s">
        <v>322</v>
      </c>
      <c r="T127">
        <v>28</v>
      </c>
    </row>
    <row r="128" spans="1:20" x14ac:dyDescent="0.25">
      <c r="A128">
        <v>2024</v>
      </c>
      <c r="B128" t="s">
        <v>295</v>
      </c>
      <c r="C128" t="s">
        <v>556</v>
      </c>
      <c r="D128" t="s">
        <v>545</v>
      </c>
      <c r="E128" t="s">
        <v>296</v>
      </c>
      <c r="H128">
        <v>0</v>
      </c>
      <c r="I128">
        <v>0</v>
      </c>
      <c r="J128">
        <v>0</v>
      </c>
      <c r="K128">
        <v>0</v>
      </c>
      <c r="L128">
        <v>0</v>
      </c>
      <c r="M128">
        <v>0</v>
      </c>
      <c r="N128" t="s">
        <v>426</v>
      </c>
      <c r="O128" t="s">
        <v>264</v>
      </c>
      <c r="P128" s="23">
        <v>45556</v>
      </c>
      <c r="Q128" s="23">
        <v>45556</v>
      </c>
      <c r="R128">
        <v>1</v>
      </c>
      <c r="S128" t="s">
        <v>322</v>
      </c>
      <c r="T128">
        <v>28</v>
      </c>
    </row>
    <row r="129" spans="1:20" x14ac:dyDescent="0.25">
      <c r="A129">
        <v>2024</v>
      </c>
      <c r="B129" t="s">
        <v>295</v>
      </c>
      <c r="C129" t="s">
        <v>557</v>
      </c>
      <c r="D129" t="s">
        <v>545</v>
      </c>
      <c r="E129" t="s">
        <v>296</v>
      </c>
      <c r="F129" t="s">
        <v>491</v>
      </c>
      <c r="G129" t="s">
        <v>453</v>
      </c>
      <c r="H129">
        <v>1809</v>
      </c>
      <c r="I129">
        <v>0</v>
      </c>
      <c r="J129">
        <v>649</v>
      </c>
      <c r="K129">
        <v>1160</v>
      </c>
      <c r="L129">
        <v>90.66</v>
      </c>
      <c r="M129">
        <v>1052</v>
      </c>
      <c r="N129" t="s">
        <v>446</v>
      </c>
      <c r="O129" t="s">
        <v>264</v>
      </c>
      <c r="P129" s="23">
        <v>45526</v>
      </c>
      <c r="Q129" s="23">
        <v>45561</v>
      </c>
      <c r="R129">
        <v>6</v>
      </c>
      <c r="S129" t="s">
        <v>327</v>
      </c>
      <c r="T129">
        <v>28</v>
      </c>
    </row>
    <row r="130" spans="1:20" x14ac:dyDescent="0.25">
      <c r="A130">
        <v>2024</v>
      </c>
      <c r="B130" t="s">
        <v>295</v>
      </c>
      <c r="C130" t="s">
        <v>558</v>
      </c>
      <c r="D130" t="s">
        <v>545</v>
      </c>
      <c r="E130" t="s">
        <v>296</v>
      </c>
      <c r="H130">
        <v>0</v>
      </c>
      <c r="I130">
        <v>0</v>
      </c>
      <c r="J130">
        <v>0</v>
      </c>
      <c r="K130">
        <v>0</v>
      </c>
      <c r="L130">
        <v>0</v>
      </c>
      <c r="M130">
        <v>0</v>
      </c>
      <c r="N130" t="s">
        <v>426</v>
      </c>
      <c r="O130" t="s">
        <v>264</v>
      </c>
      <c r="P130" s="23">
        <v>45556</v>
      </c>
      <c r="Q130" s="23">
        <v>45300</v>
      </c>
      <c r="R130">
        <v>1</v>
      </c>
      <c r="S130" t="s">
        <v>322</v>
      </c>
      <c r="T130">
        <v>28</v>
      </c>
    </row>
    <row r="131" spans="1:20" x14ac:dyDescent="0.25">
      <c r="A131">
        <v>2024</v>
      </c>
      <c r="B131" t="s">
        <v>295</v>
      </c>
      <c r="C131" t="s">
        <v>559</v>
      </c>
      <c r="D131" t="s">
        <v>545</v>
      </c>
      <c r="E131" t="s">
        <v>560</v>
      </c>
      <c r="F131" t="s">
        <v>462</v>
      </c>
      <c r="H131">
        <v>25</v>
      </c>
      <c r="I131">
        <v>0</v>
      </c>
      <c r="J131">
        <v>12</v>
      </c>
      <c r="K131">
        <v>13</v>
      </c>
      <c r="L131">
        <v>100</v>
      </c>
      <c r="M131">
        <v>13</v>
      </c>
      <c r="N131" t="s">
        <v>561</v>
      </c>
      <c r="O131" t="s">
        <v>264</v>
      </c>
      <c r="P131" s="23">
        <v>45538</v>
      </c>
      <c r="Q131" s="23">
        <v>45558</v>
      </c>
      <c r="R131">
        <v>4</v>
      </c>
      <c r="S131" t="s">
        <v>322</v>
      </c>
      <c r="T131">
        <v>28</v>
      </c>
    </row>
    <row r="132" spans="1:20" x14ac:dyDescent="0.25">
      <c r="A132">
        <v>2024</v>
      </c>
      <c r="B132" t="s">
        <v>295</v>
      </c>
      <c r="C132" t="s">
        <v>562</v>
      </c>
      <c r="D132" t="s">
        <v>545</v>
      </c>
      <c r="E132" t="s">
        <v>560</v>
      </c>
      <c r="H132">
        <v>0</v>
      </c>
      <c r="I132">
        <v>0</v>
      </c>
      <c r="J132">
        <v>0</v>
      </c>
      <c r="K132">
        <v>0</v>
      </c>
      <c r="L132">
        <v>0</v>
      </c>
      <c r="M132">
        <v>0</v>
      </c>
      <c r="N132" t="s">
        <v>335</v>
      </c>
      <c r="O132" t="s">
        <v>264</v>
      </c>
      <c r="P132" s="23">
        <v>45531</v>
      </c>
      <c r="Q132" s="23">
        <v>45558</v>
      </c>
      <c r="R132">
        <v>5</v>
      </c>
      <c r="S132" t="s">
        <v>327</v>
      </c>
      <c r="T132">
        <v>28</v>
      </c>
    </row>
    <row r="133" spans="1:20" x14ac:dyDescent="0.25">
      <c r="A133">
        <v>2024</v>
      </c>
      <c r="B133" t="s">
        <v>295</v>
      </c>
      <c r="C133" t="s">
        <v>563</v>
      </c>
      <c r="D133" t="s">
        <v>545</v>
      </c>
      <c r="E133" t="s">
        <v>564</v>
      </c>
      <c r="G133" t="s">
        <v>565</v>
      </c>
      <c r="H133">
        <v>392</v>
      </c>
      <c r="I133">
        <v>140</v>
      </c>
      <c r="J133">
        <v>131</v>
      </c>
      <c r="K133">
        <v>121</v>
      </c>
      <c r="L133">
        <v>95.28</v>
      </c>
      <c r="M133">
        <v>115</v>
      </c>
      <c r="N133" t="s">
        <v>566</v>
      </c>
      <c r="O133" t="s">
        <v>467</v>
      </c>
      <c r="P133" s="23">
        <v>45558</v>
      </c>
      <c r="Q133" s="23">
        <v>45595</v>
      </c>
      <c r="R133">
        <v>38</v>
      </c>
      <c r="S133" t="s">
        <v>445</v>
      </c>
      <c r="T133">
        <v>13</v>
      </c>
    </row>
    <row r="134" spans="1:20" x14ac:dyDescent="0.25">
      <c r="A134">
        <v>2024</v>
      </c>
      <c r="B134" t="s">
        <v>295</v>
      </c>
      <c r="C134" t="s">
        <v>567</v>
      </c>
      <c r="D134" t="s">
        <v>545</v>
      </c>
      <c r="E134" t="s">
        <v>564</v>
      </c>
      <c r="F134" t="s">
        <v>568</v>
      </c>
      <c r="G134" t="s">
        <v>569</v>
      </c>
      <c r="H134">
        <v>441</v>
      </c>
      <c r="I134">
        <v>158</v>
      </c>
      <c r="J134">
        <v>148</v>
      </c>
      <c r="K134">
        <v>135</v>
      </c>
      <c r="L134">
        <v>92.86</v>
      </c>
      <c r="M134">
        <v>126</v>
      </c>
      <c r="N134" t="s">
        <v>570</v>
      </c>
      <c r="O134" t="s">
        <v>483</v>
      </c>
      <c r="P134" s="23">
        <v>45559</v>
      </c>
      <c r="Q134" s="23">
        <v>45587</v>
      </c>
      <c r="R134">
        <v>5</v>
      </c>
      <c r="S134" t="s">
        <v>327</v>
      </c>
      <c r="T134">
        <v>13</v>
      </c>
    </row>
    <row r="135" spans="1:20" x14ac:dyDescent="0.25">
      <c r="A135">
        <v>2024</v>
      </c>
      <c r="B135" t="s">
        <v>192</v>
      </c>
      <c r="C135" t="s">
        <v>292</v>
      </c>
      <c r="D135" t="s">
        <v>545</v>
      </c>
      <c r="E135" t="s">
        <v>571</v>
      </c>
      <c r="F135" t="s">
        <v>572</v>
      </c>
      <c r="G135" t="s">
        <v>573</v>
      </c>
      <c r="H135">
        <v>328</v>
      </c>
      <c r="I135">
        <v>0</v>
      </c>
      <c r="J135">
        <v>164</v>
      </c>
      <c r="K135">
        <v>164</v>
      </c>
      <c r="L135">
        <v>100</v>
      </c>
      <c r="M135">
        <v>164</v>
      </c>
      <c r="N135" t="s">
        <v>574</v>
      </c>
      <c r="O135" t="s">
        <v>264</v>
      </c>
      <c r="P135" s="23">
        <v>45583</v>
      </c>
      <c r="Q135" s="23">
        <v>45601</v>
      </c>
      <c r="R135">
        <v>4</v>
      </c>
      <c r="S135" t="s">
        <v>322</v>
      </c>
      <c r="T135">
        <v>12</v>
      </c>
    </row>
    <row r="136" spans="1:20" x14ac:dyDescent="0.25">
      <c r="A136">
        <v>2024</v>
      </c>
      <c r="B136" t="s">
        <v>280</v>
      </c>
      <c r="C136" t="s">
        <v>575</v>
      </c>
      <c r="D136" t="s">
        <v>545</v>
      </c>
      <c r="E136" t="s">
        <v>289</v>
      </c>
      <c r="H136">
        <v>0</v>
      </c>
      <c r="I136">
        <v>0</v>
      </c>
      <c r="J136">
        <v>0</v>
      </c>
      <c r="K136">
        <v>0</v>
      </c>
      <c r="L136">
        <v>0</v>
      </c>
      <c r="M136">
        <v>0</v>
      </c>
      <c r="N136" t="s">
        <v>426</v>
      </c>
      <c r="O136" t="s">
        <v>264</v>
      </c>
      <c r="P136" s="23">
        <v>45585</v>
      </c>
      <c r="Q136" s="23">
        <v>45585</v>
      </c>
      <c r="R136">
        <v>1</v>
      </c>
      <c r="S136" t="s">
        <v>322</v>
      </c>
      <c r="T136">
        <v>9</v>
      </c>
    </row>
    <row r="137" spans="1:20" x14ac:dyDescent="0.25">
      <c r="A137">
        <v>2024</v>
      </c>
      <c r="B137" t="s">
        <v>280</v>
      </c>
      <c r="C137" t="s">
        <v>155</v>
      </c>
      <c r="D137" t="s">
        <v>545</v>
      </c>
      <c r="E137" t="s">
        <v>289</v>
      </c>
      <c r="H137">
        <v>0</v>
      </c>
      <c r="I137">
        <v>0</v>
      </c>
      <c r="J137">
        <v>0</v>
      </c>
      <c r="K137">
        <v>0</v>
      </c>
      <c r="L137">
        <v>0</v>
      </c>
      <c r="M137">
        <v>0</v>
      </c>
      <c r="N137" t="s">
        <v>426</v>
      </c>
      <c r="O137" t="s">
        <v>264</v>
      </c>
      <c r="P137" s="23">
        <v>45585</v>
      </c>
      <c r="Q137" s="23">
        <v>45585</v>
      </c>
      <c r="R137">
        <v>1</v>
      </c>
      <c r="S137" t="s">
        <v>322</v>
      </c>
      <c r="T137">
        <v>9</v>
      </c>
    </row>
    <row r="138" spans="1:20" x14ac:dyDescent="0.25">
      <c r="A138">
        <v>2024</v>
      </c>
      <c r="B138" t="s">
        <v>280</v>
      </c>
      <c r="C138" t="s">
        <v>447</v>
      </c>
      <c r="D138" t="s">
        <v>545</v>
      </c>
      <c r="E138" t="s">
        <v>289</v>
      </c>
      <c r="H138">
        <v>0</v>
      </c>
      <c r="I138">
        <v>0</v>
      </c>
      <c r="J138">
        <v>0</v>
      </c>
      <c r="K138">
        <v>0</v>
      </c>
      <c r="L138">
        <v>0</v>
      </c>
      <c r="M138">
        <v>0</v>
      </c>
      <c r="N138" t="s">
        <v>426</v>
      </c>
      <c r="O138" t="s">
        <v>264</v>
      </c>
      <c r="P138" s="23">
        <v>45585</v>
      </c>
      <c r="Q138" s="23">
        <v>45585</v>
      </c>
      <c r="R138">
        <v>1</v>
      </c>
      <c r="S138" t="s">
        <v>322</v>
      </c>
      <c r="T138">
        <v>9</v>
      </c>
    </row>
    <row r="139" spans="1:20" x14ac:dyDescent="0.25">
      <c r="A139">
        <v>2024</v>
      </c>
      <c r="B139" t="s">
        <v>280</v>
      </c>
      <c r="C139" t="s">
        <v>284</v>
      </c>
      <c r="D139" t="s">
        <v>545</v>
      </c>
      <c r="E139" t="s">
        <v>289</v>
      </c>
      <c r="F139" t="s">
        <v>576</v>
      </c>
      <c r="H139">
        <v>77</v>
      </c>
      <c r="I139">
        <v>57</v>
      </c>
      <c r="J139">
        <v>10</v>
      </c>
      <c r="K139">
        <v>10</v>
      </c>
      <c r="L139">
        <v>91.32</v>
      </c>
      <c r="M139">
        <v>9</v>
      </c>
      <c r="N139" t="s">
        <v>577</v>
      </c>
      <c r="O139" t="s">
        <v>264</v>
      </c>
      <c r="P139" s="23">
        <v>45572</v>
      </c>
      <c r="Q139" s="23">
        <v>45595</v>
      </c>
      <c r="R139">
        <v>4</v>
      </c>
      <c r="S139" t="s">
        <v>327</v>
      </c>
      <c r="T139">
        <v>9</v>
      </c>
    </row>
    <row r="140" spans="1:20" x14ac:dyDescent="0.25">
      <c r="A140">
        <v>2024</v>
      </c>
      <c r="B140" t="s">
        <v>280</v>
      </c>
      <c r="C140" t="s">
        <v>161</v>
      </c>
      <c r="D140" t="s">
        <v>545</v>
      </c>
      <c r="E140" t="s">
        <v>289</v>
      </c>
      <c r="H140">
        <v>0</v>
      </c>
      <c r="I140">
        <v>0</v>
      </c>
      <c r="J140">
        <v>0</v>
      </c>
      <c r="K140">
        <v>0</v>
      </c>
      <c r="L140">
        <v>0</v>
      </c>
      <c r="M140">
        <v>0</v>
      </c>
      <c r="N140" t="s">
        <v>426</v>
      </c>
      <c r="O140" t="s">
        <v>264</v>
      </c>
      <c r="P140" s="23">
        <v>45585</v>
      </c>
      <c r="Q140" s="23">
        <v>45585</v>
      </c>
      <c r="R140">
        <v>1</v>
      </c>
      <c r="S140" t="s">
        <v>322</v>
      </c>
      <c r="T140">
        <v>9</v>
      </c>
    </row>
    <row r="141" spans="1:20" x14ac:dyDescent="0.25">
      <c r="A141">
        <v>2024</v>
      </c>
      <c r="B141" t="s">
        <v>280</v>
      </c>
      <c r="C141" t="s">
        <v>433</v>
      </c>
      <c r="D141" t="s">
        <v>545</v>
      </c>
      <c r="E141" t="s">
        <v>289</v>
      </c>
      <c r="H141">
        <v>0</v>
      </c>
      <c r="I141">
        <v>0</v>
      </c>
      <c r="J141">
        <v>0</v>
      </c>
      <c r="K141">
        <v>0</v>
      </c>
      <c r="L141">
        <v>0</v>
      </c>
      <c r="M141">
        <v>0</v>
      </c>
      <c r="N141" t="s">
        <v>426</v>
      </c>
      <c r="O141" t="s">
        <v>264</v>
      </c>
      <c r="P141" s="23">
        <v>45585</v>
      </c>
      <c r="Q141" s="23">
        <v>45585</v>
      </c>
      <c r="R141">
        <v>1</v>
      </c>
      <c r="S141" t="s">
        <v>322</v>
      </c>
      <c r="T141">
        <v>9</v>
      </c>
    </row>
    <row r="142" spans="1:20" x14ac:dyDescent="0.25">
      <c r="A142">
        <v>2024</v>
      </c>
      <c r="B142" t="s">
        <v>280</v>
      </c>
      <c r="C142" t="s">
        <v>283</v>
      </c>
      <c r="D142" t="s">
        <v>545</v>
      </c>
      <c r="E142" t="s">
        <v>289</v>
      </c>
      <c r="F142" t="s">
        <v>578</v>
      </c>
      <c r="H142">
        <v>1373</v>
      </c>
      <c r="I142">
        <v>1019</v>
      </c>
      <c r="J142">
        <v>177</v>
      </c>
      <c r="K142">
        <v>177</v>
      </c>
      <c r="L142">
        <v>91.32</v>
      </c>
      <c r="M142">
        <v>162</v>
      </c>
      <c r="N142" t="s">
        <v>579</v>
      </c>
      <c r="O142" t="s">
        <v>264</v>
      </c>
      <c r="P142" s="23">
        <v>45572</v>
      </c>
      <c r="Q142" s="23">
        <v>45596</v>
      </c>
      <c r="R142">
        <v>6</v>
      </c>
      <c r="S142" t="s">
        <v>327</v>
      </c>
      <c r="T142">
        <v>9</v>
      </c>
    </row>
    <row r="143" spans="1:20" x14ac:dyDescent="0.25">
      <c r="A143">
        <v>2024</v>
      </c>
      <c r="B143" t="s">
        <v>280</v>
      </c>
      <c r="C143" t="s">
        <v>432</v>
      </c>
      <c r="D143" t="s">
        <v>545</v>
      </c>
      <c r="E143" t="s">
        <v>289</v>
      </c>
      <c r="H143">
        <v>0</v>
      </c>
      <c r="I143">
        <v>0</v>
      </c>
      <c r="J143">
        <v>0</v>
      </c>
      <c r="K143">
        <v>0</v>
      </c>
      <c r="L143">
        <v>0</v>
      </c>
      <c r="M143">
        <v>0</v>
      </c>
      <c r="N143" t="s">
        <v>426</v>
      </c>
      <c r="O143" t="s">
        <v>264</v>
      </c>
      <c r="P143" s="23">
        <v>45580</v>
      </c>
      <c r="Q143" s="23">
        <v>45580</v>
      </c>
      <c r="R143">
        <v>1</v>
      </c>
      <c r="S143" t="s">
        <v>322</v>
      </c>
      <c r="T143">
        <v>9</v>
      </c>
    </row>
    <row r="144" spans="1:20" x14ac:dyDescent="0.25">
      <c r="A144">
        <v>2024</v>
      </c>
      <c r="B144" t="s">
        <v>280</v>
      </c>
      <c r="C144" t="s">
        <v>580</v>
      </c>
      <c r="D144" t="s">
        <v>545</v>
      </c>
      <c r="E144" t="s">
        <v>289</v>
      </c>
      <c r="H144">
        <v>7</v>
      </c>
      <c r="I144">
        <v>0</v>
      </c>
      <c r="J144">
        <v>3</v>
      </c>
      <c r="K144">
        <v>4</v>
      </c>
      <c r="L144">
        <v>91.32</v>
      </c>
      <c r="M144">
        <v>4</v>
      </c>
      <c r="N144" t="s">
        <v>581</v>
      </c>
      <c r="O144" t="s">
        <v>264</v>
      </c>
      <c r="P144" s="23">
        <v>45595</v>
      </c>
      <c r="Q144" s="23">
        <v>45595</v>
      </c>
      <c r="R144">
        <v>1</v>
      </c>
      <c r="S144" t="s">
        <v>322</v>
      </c>
      <c r="T144">
        <v>9</v>
      </c>
    </row>
    <row r="145" spans="1:20" x14ac:dyDescent="0.25">
      <c r="A145">
        <v>2024</v>
      </c>
      <c r="B145" t="s">
        <v>164</v>
      </c>
      <c r="C145" t="s">
        <v>582</v>
      </c>
      <c r="D145" t="s">
        <v>545</v>
      </c>
      <c r="E145" t="s">
        <v>583</v>
      </c>
      <c r="G145" t="s">
        <v>584</v>
      </c>
      <c r="H145">
        <v>137</v>
      </c>
      <c r="I145">
        <v>40</v>
      </c>
      <c r="J145">
        <v>27</v>
      </c>
      <c r="K145">
        <v>70</v>
      </c>
      <c r="L145">
        <v>50</v>
      </c>
      <c r="M145">
        <v>35</v>
      </c>
      <c r="N145" t="s">
        <v>585</v>
      </c>
      <c r="O145" t="s">
        <v>467</v>
      </c>
      <c r="P145" s="23">
        <v>45502</v>
      </c>
      <c r="Q145" s="23">
        <v>45628</v>
      </c>
      <c r="R145">
        <v>123</v>
      </c>
      <c r="S145" t="s">
        <v>379</v>
      </c>
      <c r="T145">
        <v>11</v>
      </c>
    </row>
    <row r="146" spans="1:20" x14ac:dyDescent="0.25">
      <c r="A146">
        <v>2024</v>
      </c>
      <c r="B146" t="s">
        <v>280</v>
      </c>
      <c r="C146" t="s">
        <v>439</v>
      </c>
      <c r="D146" t="s">
        <v>545</v>
      </c>
      <c r="E146" t="s">
        <v>289</v>
      </c>
      <c r="H146">
        <v>0</v>
      </c>
      <c r="I146">
        <v>0</v>
      </c>
      <c r="J146">
        <v>0</v>
      </c>
      <c r="K146">
        <v>0</v>
      </c>
      <c r="L146">
        <v>0</v>
      </c>
      <c r="M146">
        <v>0</v>
      </c>
      <c r="N146" t="s">
        <v>426</v>
      </c>
      <c r="O146" t="s">
        <v>264</v>
      </c>
      <c r="P146" s="23">
        <v>45580</v>
      </c>
      <c r="Q146" s="23">
        <v>45580</v>
      </c>
      <c r="R146">
        <v>1</v>
      </c>
      <c r="S146" t="s">
        <v>322</v>
      </c>
      <c r="T146">
        <v>9</v>
      </c>
    </row>
    <row r="147" spans="1:20" x14ac:dyDescent="0.25">
      <c r="A147">
        <v>2024</v>
      </c>
      <c r="B147" t="s">
        <v>280</v>
      </c>
      <c r="C147" t="s">
        <v>441</v>
      </c>
      <c r="D147" t="s">
        <v>545</v>
      </c>
      <c r="E147" t="s">
        <v>289</v>
      </c>
      <c r="H147">
        <v>0</v>
      </c>
      <c r="I147">
        <v>0</v>
      </c>
      <c r="J147">
        <v>0</v>
      </c>
      <c r="K147">
        <v>0</v>
      </c>
      <c r="L147">
        <v>0</v>
      </c>
      <c r="M147">
        <v>0</v>
      </c>
      <c r="N147" t="s">
        <v>586</v>
      </c>
      <c r="O147" t="s">
        <v>264</v>
      </c>
      <c r="P147" s="23">
        <v>45581</v>
      </c>
      <c r="Q147" s="23">
        <v>45453</v>
      </c>
      <c r="R147">
        <v>1</v>
      </c>
      <c r="S147" t="s">
        <v>322</v>
      </c>
      <c r="T147">
        <v>9</v>
      </c>
    </row>
    <row r="148" spans="1:20" x14ac:dyDescent="0.25">
      <c r="A148">
        <v>2024</v>
      </c>
      <c r="B148" t="s">
        <v>280</v>
      </c>
      <c r="C148" t="s">
        <v>443</v>
      </c>
      <c r="D148" t="s">
        <v>545</v>
      </c>
      <c r="E148" t="s">
        <v>289</v>
      </c>
      <c r="H148">
        <v>0</v>
      </c>
      <c r="I148">
        <v>0</v>
      </c>
      <c r="J148">
        <v>0</v>
      </c>
      <c r="K148">
        <v>0</v>
      </c>
      <c r="L148">
        <v>0</v>
      </c>
      <c r="M148">
        <v>0</v>
      </c>
      <c r="N148" t="s">
        <v>426</v>
      </c>
      <c r="O148" t="s">
        <v>264</v>
      </c>
      <c r="P148" s="23">
        <v>45581</v>
      </c>
      <c r="Q148" s="23">
        <v>45581</v>
      </c>
      <c r="R148">
        <v>1</v>
      </c>
      <c r="S148" t="s">
        <v>322</v>
      </c>
      <c r="T148">
        <v>9</v>
      </c>
    </row>
    <row r="149" spans="1:20" x14ac:dyDescent="0.25">
      <c r="A149">
        <v>2024</v>
      </c>
      <c r="B149" t="s">
        <v>280</v>
      </c>
      <c r="C149" t="s">
        <v>427</v>
      </c>
      <c r="D149" t="s">
        <v>545</v>
      </c>
      <c r="E149" t="s">
        <v>289</v>
      </c>
      <c r="H149">
        <v>0</v>
      </c>
      <c r="I149">
        <v>0</v>
      </c>
      <c r="J149">
        <v>0</v>
      </c>
      <c r="K149">
        <v>0</v>
      </c>
      <c r="L149">
        <v>0</v>
      </c>
      <c r="M149">
        <v>0</v>
      </c>
      <c r="N149" t="s">
        <v>337</v>
      </c>
      <c r="O149" t="s">
        <v>264</v>
      </c>
      <c r="P149" s="23">
        <v>45576</v>
      </c>
      <c r="Q149" s="23">
        <v>45584</v>
      </c>
      <c r="R149">
        <v>2</v>
      </c>
      <c r="S149" t="s">
        <v>322</v>
      </c>
      <c r="T149">
        <v>9</v>
      </c>
    </row>
    <row r="150" spans="1:20" x14ac:dyDescent="0.25">
      <c r="A150">
        <v>2024</v>
      </c>
      <c r="B150" t="s">
        <v>280</v>
      </c>
      <c r="C150" t="s">
        <v>146</v>
      </c>
      <c r="D150" t="s">
        <v>545</v>
      </c>
      <c r="E150" t="s">
        <v>289</v>
      </c>
      <c r="H150">
        <v>18</v>
      </c>
      <c r="I150">
        <v>0</v>
      </c>
      <c r="J150">
        <v>9</v>
      </c>
      <c r="K150">
        <v>9</v>
      </c>
      <c r="L150">
        <v>91.32</v>
      </c>
      <c r="M150">
        <v>8</v>
      </c>
      <c r="N150" t="s">
        <v>587</v>
      </c>
      <c r="O150" t="s">
        <v>467</v>
      </c>
      <c r="P150" s="23">
        <v>45566</v>
      </c>
      <c r="Q150" s="23">
        <v>45583</v>
      </c>
      <c r="R150">
        <v>18</v>
      </c>
      <c r="S150" t="s">
        <v>379</v>
      </c>
      <c r="T150">
        <v>9</v>
      </c>
    </row>
    <row r="151" spans="1:20" x14ac:dyDescent="0.25">
      <c r="A151">
        <v>2024</v>
      </c>
      <c r="B151" t="s">
        <v>280</v>
      </c>
      <c r="C151" t="s">
        <v>434</v>
      </c>
      <c r="D151" t="s">
        <v>545</v>
      </c>
      <c r="E151" t="s">
        <v>289</v>
      </c>
      <c r="H151">
        <v>0</v>
      </c>
      <c r="I151">
        <v>0</v>
      </c>
      <c r="J151">
        <v>0</v>
      </c>
      <c r="K151">
        <v>0</v>
      </c>
      <c r="L151">
        <v>0</v>
      </c>
      <c r="M151">
        <v>0</v>
      </c>
      <c r="N151" t="s">
        <v>588</v>
      </c>
      <c r="O151" t="s">
        <v>264</v>
      </c>
      <c r="P151" s="23">
        <v>45584</v>
      </c>
      <c r="Q151" s="23">
        <v>45584</v>
      </c>
      <c r="R151">
        <v>1</v>
      </c>
      <c r="S151" t="s">
        <v>322</v>
      </c>
      <c r="T151">
        <v>9</v>
      </c>
    </row>
    <row r="152" spans="1:20" x14ac:dyDescent="0.25">
      <c r="A152">
        <v>2024</v>
      </c>
      <c r="B152" t="s">
        <v>280</v>
      </c>
      <c r="C152" t="s">
        <v>163</v>
      </c>
      <c r="D152" t="s">
        <v>545</v>
      </c>
      <c r="E152" t="s">
        <v>289</v>
      </c>
      <c r="H152">
        <v>0</v>
      </c>
      <c r="I152">
        <v>0</v>
      </c>
      <c r="J152">
        <v>0</v>
      </c>
      <c r="K152">
        <v>0</v>
      </c>
      <c r="L152">
        <v>0</v>
      </c>
      <c r="M152">
        <v>0</v>
      </c>
      <c r="N152" t="s">
        <v>426</v>
      </c>
      <c r="O152" t="s">
        <v>264</v>
      </c>
      <c r="P152" s="23">
        <v>45584</v>
      </c>
      <c r="Q152" s="23">
        <v>45584</v>
      </c>
      <c r="R152">
        <v>1</v>
      </c>
      <c r="S152" t="s">
        <v>322</v>
      </c>
      <c r="T152">
        <v>9</v>
      </c>
    </row>
    <row r="153" spans="1:20" x14ac:dyDescent="0.25">
      <c r="A153">
        <v>2024</v>
      </c>
      <c r="B153" t="s">
        <v>280</v>
      </c>
      <c r="C153" t="s">
        <v>589</v>
      </c>
      <c r="D153" t="s">
        <v>545</v>
      </c>
      <c r="E153" t="s">
        <v>289</v>
      </c>
      <c r="H153">
        <v>0</v>
      </c>
      <c r="I153">
        <v>0</v>
      </c>
      <c r="J153">
        <v>0</v>
      </c>
      <c r="K153">
        <v>0</v>
      </c>
      <c r="L153">
        <v>0</v>
      </c>
      <c r="M153">
        <v>0</v>
      </c>
      <c r="N153" t="s">
        <v>590</v>
      </c>
      <c r="O153" t="s">
        <v>467</v>
      </c>
      <c r="P153" s="23">
        <v>45491</v>
      </c>
      <c r="Q153" s="23">
        <v>45615</v>
      </c>
      <c r="R153">
        <v>124</v>
      </c>
      <c r="S153" t="s">
        <v>379</v>
      </c>
      <c r="T153">
        <v>9</v>
      </c>
    </row>
    <row r="154" spans="1:20" x14ac:dyDescent="0.25">
      <c r="A154">
        <v>2024</v>
      </c>
      <c r="B154" t="s">
        <v>280</v>
      </c>
      <c r="C154" t="s">
        <v>448</v>
      </c>
      <c r="D154" t="s">
        <v>545</v>
      </c>
      <c r="E154" t="s">
        <v>289</v>
      </c>
      <c r="H154">
        <v>0</v>
      </c>
      <c r="I154">
        <v>0</v>
      </c>
      <c r="J154">
        <v>0</v>
      </c>
      <c r="K154">
        <v>0</v>
      </c>
      <c r="L154">
        <v>0</v>
      </c>
      <c r="M154">
        <v>0</v>
      </c>
      <c r="N154" t="s">
        <v>426</v>
      </c>
      <c r="O154" t="s">
        <v>264</v>
      </c>
      <c r="P154" s="23">
        <v>45584</v>
      </c>
      <c r="Q154" s="23">
        <v>45584</v>
      </c>
      <c r="R154">
        <v>1</v>
      </c>
      <c r="S154" t="s">
        <v>322</v>
      </c>
      <c r="T154">
        <v>9</v>
      </c>
    </row>
    <row r="155" spans="1:20" x14ac:dyDescent="0.25">
      <c r="A155">
        <v>2024</v>
      </c>
      <c r="B155" t="s">
        <v>280</v>
      </c>
      <c r="C155" t="s">
        <v>424</v>
      </c>
      <c r="D155" t="s">
        <v>545</v>
      </c>
      <c r="E155" t="s">
        <v>289</v>
      </c>
      <c r="H155">
        <v>0</v>
      </c>
      <c r="I155">
        <v>0</v>
      </c>
      <c r="J155">
        <v>0</v>
      </c>
      <c r="K155">
        <v>0</v>
      </c>
      <c r="L155">
        <v>0</v>
      </c>
      <c r="M155">
        <v>0</v>
      </c>
      <c r="N155" t="s">
        <v>426</v>
      </c>
      <c r="O155" t="s">
        <v>264</v>
      </c>
      <c r="P155" s="23">
        <v>45584</v>
      </c>
      <c r="Q155" s="23">
        <v>45584</v>
      </c>
      <c r="R155">
        <v>1</v>
      </c>
      <c r="S155" t="s">
        <v>322</v>
      </c>
      <c r="T155">
        <v>9</v>
      </c>
    </row>
    <row r="156" spans="1:20" x14ac:dyDescent="0.25">
      <c r="A156">
        <v>2024</v>
      </c>
      <c r="B156" t="s">
        <v>280</v>
      </c>
      <c r="C156" t="s">
        <v>436</v>
      </c>
      <c r="D156" t="s">
        <v>545</v>
      </c>
      <c r="E156" t="s">
        <v>289</v>
      </c>
      <c r="H156">
        <v>0</v>
      </c>
      <c r="I156">
        <v>0</v>
      </c>
      <c r="J156">
        <v>0</v>
      </c>
      <c r="K156">
        <v>0</v>
      </c>
      <c r="L156">
        <v>0</v>
      </c>
      <c r="M156">
        <v>0</v>
      </c>
      <c r="N156" t="s">
        <v>426</v>
      </c>
      <c r="O156" t="s">
        <v>264</v>
      </c>
      <c r="P156" s="23">
        <v>45584</v>
      </c>
      <c r="Q156" s="23">
        <v>45584</v>
      </c>
      <c r="R156">
        <v>1</v>
      </c>
      <c r="S156" t="s">
        <v>322</v>
      </c>
      <c r="T156">
        <v>9</v>
      </c>
    </row>
    <row r="157" spans="1:20" x14ac:dyDescent="0.25">
      <c r="A157">
        <v>2024</v>
      </c>
      <c r="B157" t="s">
        <v>280</v>
      </c>
      <c r="C157" t="s">
        <v>152</v>
      </c>
      <c r="D157" t="s">
        <v>545</v>
      </c>
      <c r="E157" t="s">
        <v>289</v>
      </c>
      <c r="H157">
        <v>0</v>
      </c>
      <c r="I157">
        <v>0</v>
      </c>
      <c r="J157">
        <v>0</v>
      </c>
      <c r="K157">
        <v>0</v>
      </c>
      <c r="L157">
        <v>0</v>
      </c>
      <c r="M157">
        <v>0</v>
      </c>
      <c r="N157" t="s">
        <v>591</v>
      </c>
      <c r="O157" t="s">
        <v>264</v>
      </c>
      <c r="P157" s="23">
        <v>45573</v>
      </c>
      <c r="Q157" s="23">
        <v>45584</v>
      </c>
      <c r="R157">
        <v>2</v>
      </c>
      <c r="S157" t="s">
        <v>322</v>
      </c>
      <c r="T157">
        <v>9</v>
      </c>
    </row>
    <row r="158" spans="1:20" x14ac:dyDescent="0.25">
      <c r="A158">
        <v>2024</v>
      </c>
      <c r="B158" t="s">
        <v>280</v>
      </c>
      <c r="C158" t="s">
        <v>592</v>
      </c>
      <c r="D158" t="s">
        <v>545</v>
      </c>
      <c r="E158" t="s">
        <v>289</v>
      </c>
      <c r="H158">
        <v>0</v>
      </c>
      <c r="I158">
        <v>0</v>
      </c>
      <c r="J158">
        <v>0</v>
      </c>
      <c r="K158">
        <v>0</v>
      </c>
      <c r="L158">
        <v>0</v>
      </c>
      <c r="M158">
        <v>0</v>
      </c>
      <c r="N158" t="s">
        <v>426</v>
      </c>
      <c r="O158" t="s">
        <v>264</v>
      </c>
      <c r="P158" s="23">
        <v>45582</v>
      </c>
      <c r="Q158" s="23">
        <v>45582</v>
      </c>
      <c r="R158">
        <v>1</v>
      </c>
      <c r="S158" t="s">
        <v>322</v>
      </c>
      <c r="T158">
        <v>9</v>
      </c>
    </row>
    <row r="159" spans="1:20" x14ac:dyDescent="0.25">
      <c r="A159">
        <v>2024</v>
      </c>
      <c r="B159" t="s">
        <v>280</v>
      </c>
      <c r="C159" t="s">
        <v>593</v>
      </c>
      <c r="D159" t="s">
        <v>545</v>
      </c>
      <c r="E159" t="s">
        <v>289</v>
      </c>
      <c r="H159">
        <v>0</v>
      </c>
      <c r="I159">
        <v>0</v>
      </c>
      <c r="J159">
        <v>0</v>
      </c>
      <c r="K159">
        <v>0</v>
      </c>
      <c r="L159">
        <v>0</v>
      </c>
      <c r="M159">
        <v>0</v>
      </c>
      <c r="N159" t="s">
        <v>426</v>
      </c>
      <c r="O159" t="s">
        <v>264</v>
      </c>
      <c r="P159" s="23">
        <v>45583</v>
      </c>
      <c r="Q159" s="23">
        <v>45583</v>
      </c>
      <c r="R159">
        <v>1</v>
      </c>
      <c r="S159" t="s">
        <v>322</v>
      </c>
      <c r="T159">
        <v>9</v>
      </c>
    </row>
    <row r="160" spans="1:20" x14ac:dyDescent="0.25">
      <c r="A160">
        <v>2024</v>
      </c>
      <c r="B160" t="s">
        <v>280</v>
      </c>
      <c r="C160" t="s">
        <v>285</v>
      </c>
      <c r="D160" t="s">
        <v>545</v>
      </c>
      <c r="E160" t="s">
        <v>289</v>
      </c>
      <c r="F160" t="s">
        <v>594</v>
      </c>
      <c r="H160">
        <v>27</v>
      </c>
      <c r="I160">
        <v>20</v>
      </c>
      <c r="J160">
        <v>4</v>
      </c>
      <c r="K160">
        <v>3</v>
      </c>
      <c r="L160">
        <v>91.32</v>
      </c>
      <c r="M160">
        <v>3</v>
      </c>
      <c r="N160" t="s">
        <v>595</v>
      </c>
      <c r="O160" t="s">
        <v>264</v>
      </c>
      <c r="P160" s="23">
        <v>45575</v>
      </c>
      <c r="Q160" s="23">
        <v>45594</v>
      </c>
      <c r="R160">
        <v>4</v>
      </c>
      <c r="S160" t="s">
        <v>322</v>
      </c>
      <c r="T160">
        <v>9</v>
      </c>
    </row>
    <row r="161" spans="1:20" x14ac:dyDescent="0.25">
      <c r="A161">
        <v>2024</v>
      </c>
      <c r="B161" t="s">
        <v>280</v>
      </c>
      <c r="C161" t="s">
        <v>290</v>
      </c>
      <c r="D161" t="s">
        <v>545</v>
      </c>
      <c r="E161" t="s">
        <v>289</v>
      </c>
      <c r="H161">
        <v>4</v>
      </c>
      <c r="I161">
        <v>0</v>
      </c>
      <c r="J161">
        <v>2</v>
      </c>
      <c r="K161">
        <v>2</v>
      </c>
      <c r="L161">
        <v>91.32</v>
      </c>
      <c r="M161">
        <v>2</v>
      </c>
      <c r="N161" t="s">
        <v>596</v>
      </c>
      <c r="O161" t="s">
        <v>264</v>
      </c>
      <c r="P161" s="23">
        <v>45574</v>
      </c>
      <c r="Q161" s="23">
        <v>45587</v>
      </c>
      <c r="R161">
        <v>3</v>
      </c>
      <c r="S161" t="s">
        <v>322</v>
      </c>
      <c r="T161">
        <v>9</v>
      </c>
    </row>
    <row r="162" spans="1:20" x14ac:dyDescent="0.25">
      <c r="A162">
        <v>2024</v>
      </c>
      <c r="B162" t="s">
        <v>280</v>
      </c>
      <c r="C162" t="s">
        <v>597</v>
      </c>
      <c r="D162" t="s">
        <v>545</v>
      </c>
      <c r="E162" t="s">
        <v>289</v>
      </c>
      <c r="H162">
        <v>0</v>
      </c>
      <c r="I162">
        <v>0</v>
      </c>
      <c r="J162">
        <v>0</v>
      </c>
      <c r="K162">
        <v>0</v>
      </c>
      <c r="L162">
        <v>0</v>
      </c>
      <c r="M162">
        <v>0</v>
      </c>
      <c r="N162" t="s">
        <v>426</v>
      </c>
      <c r="O162" t="s">
        <v>264</v>
      </c>
      <c r="P162" s="23">
        <v>45582</v>
      </c>
      <c r="Q162" s="23">
        <v>45582</v>
      </c>
      <c r="R162">
        <v>1</v>
      </c>
      <c r="S162" t="s">
        <v>322</v>
      </c>
      <c r="T162">
        <v>9</v>
      </c>
    </row>
    <row r="163" spans="1:20" x14ac:dyDescent="0.25">
      <c r="A163">
        <v>2024</v>
      </c>
      <c r="B163" t="s">
        <v>280</v>
      </c>
      <c r="C163" t="s">
        <v>598</v>
      </c>
      <c r="D163" t="s">
        <v>545</v>
      </c>
      <c r="E163" t="s">
        <v>289</v>
      </c>
      <c r="H163">
        <v>0</v>
      </c>
      <c r="I163">
        <v>0</v>
      </c>
      <c r="J163">
        <v>0</v>
      </c>
      <c r="K163">
        <v>0</v>
      </c>
      <c r="L163">
        <v>0</v>
      </c>
      <c r="M163">
        <v>0</v>
      </c>
      <c r="N163" t="s">
        <v>426</v>
      </c>
      <c r="O163" t="s">
        <v>264</v>
      </c>
      <c r="P163" s="23">
        <v>45582</v>
      </c>
      <c r="Q163" s="23">
        <v>45582</v>
      </c>
      <c r="R163">
        <v>1</v>
      </c>
      <c r="S163" t="s">
        <v>322</v>
      </c>
      <c r="T163">
        <v>9</v>
      </c>
    </row>
    <row r="164" spans="1:20" x14ac:dyDescent="0.25">
      <c r="A164">
        <v>2024</v>
      </c>
      <c r="B164" t="s">
        <v>280</v>
      </c>
      <c r="C164" t="s">
        <v>599</v>
      </c>
      <c r="D164" t="s">
        <v>545</v>
      </c>
      <c r="E164" t="s">
        <v>289</v>
      </c>
      <c r="H164">
        <v>0</v>
      </c>
      <c r="I164">
        <v>0</v>
      </c>
      <c r="J164">
        <v>0</v>
      </c>
      <c r="K164">
        <v>0</v>
      </c>
      <c r="L164">
        <v>0</v>
      </c>
      <c r="M164">
        <v>0</v>
      </c>
      <c r="N164" t="s">
        <v>426</v>
      </c>
      <c r="O164" t="s">
        <v>264</v>
      </c>
      <c r="P164" s="23">
        <v>45582</v>
      </c>
      <c r="Q164" s="23">
        <v>45582</v>
      </c>
      <c r="R164">
        <v>1</v>
      </c>
      <c r="S164" t="s">
        <v>322</v>
      </c>
      <c r="T164">
        <v>9</v>
      </c>
    </row>
    <row r="165" spans="1:20" x14ac:dyDescent="0.25">
      <c r="A165">
        <v>2024</v>
      </c>
      <c r="B165" t="s">
        <v>280</v>
      </c>
      <c r="C165" t="s">
        <v>600</v>
      </c>
      <c r="D165" t="s">
        <v>545</v>
      </c>
      <c r="E165" t="s">
        <v>289</v>
      </c>
      <c r="H165">
        <v>0</v>
      </c>
      <c r="I165">
        <v>0</v>
      </c>
      <c r="J165">
        <v>0</v>
      </c>
      <c r="K165">
        <v>0</v>
      </c>
      <c r="L165">
        <v>0</v>
      </c>
      <c r="M165">
        <v>0</v>
      </c>
      <c r="N165" t="s">
        <v>426</v>
      </c>
      <c r="O165" t="s">
        <v>264</v>
      </c>
      <c r="P165" s="23">
        <v>45582</v>
      </c>
      <c r="Q165" s="23">
        <v>45582</v>
      </c>
      <c r="R165">
        <v>1</v>
      </c>
      <c r="S165" t="s">
        <v>322</v>
      </c>
      <c r="T165">
        <v>9</v>
      </c>
    </row>
  </sheetData>
  <autoFilter ref="A1:T165" xr:uid="{B5D3A581-275D-4731-A9B4-B8BB4BB78AE8}"/>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Calibration_Input</vt:lpstr>
      <vt:lpstr>prelim_final_estimates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Davidson, Katie</dc:creator>
  <cp:keywords/>
  <dc:description/>
  <cp:lastModifiedBy>Arbeider, Michael (he, him / il, lui) (DFO/MPO)</cp:lastModifiedBy>
  <cp:revision/>
  <dcterms:created xsi:type="dcterms:W3CDTF">2020-03-26T20:22:05Z</dcterms:created>
  <dcterms:modified xsi:type="dcterms:W3CDTF">2026-03-06T16:23:23Z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2025-08-07T21:03:24Z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cd3ff906-1841-4e9f-9e36-1af4ba87f260</vt:lpwstr>
  </property>
  <property fmtid="{D5CDD505-2E9C-101B-9397-08002B2CF9AE}" pid="8" name="MSIP_Label_4e6cdb53-fd15-486d-84de-c510e3a62203_ContentBits">
    <vt:lpwstr>1</vt:lpwstr>
  </property>
</Properties>
</file>